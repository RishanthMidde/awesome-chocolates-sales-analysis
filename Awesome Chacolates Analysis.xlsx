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ba4f022e5889032d/Desktop/"/>
    </mc:Choice>
  </mc:AlternateContent>
  <xr:revisionPtr revIDLastSave="0" documentId="8_{C3300784-3BB1-4D9A-9301-F9E252F11263}" xr6:coauthVersionLast="47" xr6:coauthVersionMax="47" xr10:uidLastSave="{00000000-0000-0000-0000-000000000000}"/>
  <bookViews>
    <workbookView xWindow="-108" yWindow="-108" windowWidth="23256" windowHeight="13176" xr2:uid="{26D4546B-D2A1-4444-8EAF-A6228F96F0C1}"/>
  </bookViews>
  <sheets>
    <sheet name="Data" sheetId="1" r:id="rId1"/>
    <sheet name="1" sheetId="3" r:id="rId2"/>
    <sheet name="2" sheetId="4" r:id="rId3"/>
    <sheet name="3" sheetId="5" r:id="rId4"/>
    <sheet name="4" sheetId="6" r:id="rId5"/>
    <sheet name="5" sheetId="8" r:id="rId6"/>
    <sheet name="6" sheetId="9" r:id="rId7"/>
    <sheet name="7" sheetId="10" r:id="rId8"/>
    <sheet name="8" sheetId="11" r:id="rId9"/>
    <sheet name="9" sheetId="12" r:id="rId10"/>
    <sheet name="10" sheetId="13" r:id="rId11"/>
  </sheets>
  <definedNames>
    <definedName name="_xlnm._FilterDatabase" localSheetId="3" hidden="1">'3'!$B$4:$E$10</definedName>
    <definedName name="_xlnm._FilterDatabase" localSheetId="0" hidden="1">Data!$C$11:$G$11</definedName>
    <definedName name="_xlchart.v1.0" hidden="1">'6'!$M$5:$M$304</definedName>
    <definedName name="_xlchart.v1.1" hidden="1">'6'!$O$5:$O$304</definedName>
    <definedName name="_xlcn.WorksheetConnection_beginnerDAcourseblank.xlsxData1" hidden="1">Data[]</definedName>
    <definedName name="Slicer_Geography">#N/A</definedName>
    <definedName name="Slicer_Geography1">#N/A</definedName>
    <definedName name="Slicer_Sales_Person">#N/A</definedName>
  </definedNames>
  <calcPr calcId="191029"/>
  <pivotCaches>
    <pivotCache cacheId="94" r:id="rId12"/>
    <pivotCache cacheId="95" r:id="rId13"/>
    <pivotCache cacheId="96" r:id="rId14"/>
    <pivotCache cacheId="97" r:id="rId15"/>
    <pivotCache cacheId="142" r:id="rId16"/>
    <pivotCache cacheId="148" r:id="rId17"/>
  </pivotCaches>
  <extLst>
    <ext xmlns:x14="http://schemas.microsoft.com/office/spreadsheetml/2009/9/main" uri="{876F7934-8845-4945-9796-88D515C7AA90}">
      <x14:pivotCaches>
        <pivotCache cacheId="79" r:id="rId18"/>
        <pivotCache cacheId="92" r:id="rId19"/>
        <pivotCache cacheId="106"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beginner-DA-course-blank.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2" l="1" a="1"/>
  <c r="G5" i="12"/>
  <c r="G6" i="12"/>
  <c r="G7" i="12"/>
  <c r="G8" i="12"/>
  <c r="G9" i="12"/>
  <c r="G10" i="12"/>
  <c r="G11" i="12"/>
  <c r="G12" i="12"/>
  <c r="G13" i="12"/>
  <c r="G4" i="12"/>
  <c r="F5" i="12"/>
  <c r="F6" i="12"/>
  <c r="F7" i="12"/>
  <c r="F8" i="12"/>
  <c r="F9" i="12"/>
  <c r="F10" i="12"/>
  <c r="F11" i="12"/>
  <c r="F12" i="12"/>
  <c r="F13" i="12"/>
  <c r="F4" i="12"/>
  <c r="E4" i="12" a="1"/>
  <c r="D11" i="12"/>
  <c r="D9" i="12"/>
  <c r="D8" i="12"/>
  <c r="C8" i="12"/>
  <c r="C11" i="12"/>
  <c r="C9" i="12"/>
  <c r="C5" i="12"/>
  <c r="H12" i="1"/>
  <c r="I12" i="1" s="1"/>
  <c r="H13" i="1"/>
  <c r="I13" i="1" s="1"/>
  <c r="H14" i="1"/>
  <c r="I14" i="1" s="1"/>
  <c r="H15" i="1"/>
  <c r="I15" i="1" s="1"/>
  <c r="H16" i="1"/>
  <c r="I16" i="1" s="1"/>
  <c r="H17" i="1"/>
  <c r="I17" i="1" s="1"/>
  <c r="H18" i="1"/>
  <c r="I18" i="1" s="1"/>
  <c r="H19" i="1"/>
  <c r="I19" i="1" s="1"/>
  <c r="H20" i="1"/>
  <c r="I20" i="1" s="1"/>
  <c r="H21" i="1"/>
  <c r="I21" i="1" s="1"/>
  <c r="H22" i="1"/>
  <c r="I22" i="1" s="1"/>
  <c r="H23" i="1"/>
  <c r="I23" i="1" s="1"/>
  <c r="H24" i="1"/>
  <c r="I24" i="1" s="1"/>
  <c r="H25" i="1"/>
  <c r="I25" i="1" s="1"/>
  <c r="H26" i="1"/>
  <c r="I26" i="1" s="1"/>
  <c r="H27" i="1"/>
  <c r="I27" i="1" s="1"/>
  <c r="H28" i="1"/>
  <c r="I28" i="1" s="1"/>
  <c r="H29" i="1"/>
  <c r="I29" i="1" s="1"/>
  <c r="H30" i="1"/>
  <c r="I30" i="1" s="1"/>
  <c r="H31" i="1"/>
  <c r="I31" i="1" s="1"/>
  <c r="H32" i="1"/>
  <c r="I32" i="1" s="1"/>
  <c r="H33" i="1"/>
  <c r="I33" i="1" s="1"/>
  <c r="H34" i="1"/>
  <c r="I34" i="1" s="1"/>
  <c r="H35" i="1"/>
  <c r="I35" i="1" s="1"/>
  <c r="H36" i="1"/>
  <c r="I36" i="1" s="1"/>
  <c r="H37" i="1"/>
  <c r="I37" i="1" s="1"/>
  <c r="H38" i="1"/>
  <c r="I38" i="1" s="1"/>
  <c r="H39" i="1"/>
  <c r="I39" i="1" s="1"/>
  <c r="H40" i="1"/>
  <c r="I40" i="1" s="1"/>
  <c r="H41" i="1"/>
  <c r="I41" i="1" s="1"/>
  <c r="H42" i="1"/>
  <c r="I42" i="1" s="1"/>
  <c r="H43" i="1"/>
  <c r="I43" i="1" s="1"/>
  <c r="H44" i="1"/>
  <c r="I44" i="1" s="1"/>
  <c r="H45" i="1"/>
  <c r="I45" i="1" s="1"/>
  <c r="H46" i="1"/>
  <c r="I46" i="1" s="1"/>
  <c r="H47" i="1"/>
  <c r="I47" i="1" s="1"/>
  <c r="H48" i="1"/>
  <c r="I48" i="1" s="1"/>
  <c r="H49" i="1"/>
  <c r="I49" i="1" s="1"/>
  <c r="H50" i="1"/>
  <c r="I50" i="1" s="1"/>
  <c r="H51" i="1"/>
  <c r="I51" i="1" s="1"/>
  <c r="H52" i="1"/>
  <c r="I52" i="1" s="1"/>
  <c r="H53" i="1"/>
  <c r="I53" i="1" s="1"/>
  <c r="H54" i="1"/>
  <c r="I54" i="1" s="1"/>
  <c r="H55" i="1"/>
  <c r="I55" i="1" s="1"/>
  <c r="H56" i="1"/>
  <c r="I56" i="1" s="1"/>
  <c r="H57" i="1"/>
  <c r="I57" i="1" s="1"/>
  <c r="H58" i="1"/>
  <c r="I58" i="1" s="1"/>
  <c r="H59" i="1"/>
  <c r="I59" i="1" s="1"/>
  <c r="H60" i="1"/>
  <c r="I60" i="1" s="1"/>
  <c r="H61" i="1"/>
  <c r="I61" i="1" s="1"/>
  <c r="H62" i="1"/>
  <c r="I62" i="1" s="1"/>
  <c r="H63" i="1"/>
  <c r="I63" i="1" s="1"/>
  <c r="H64" i="1"/>
  <c r="I64" i="1" s="1"/>
  <c r="H65" i="1"/>
  <c r="I65" i="1" s="1"/>
  <c r="H66" i="1"/>
  <c r="I66" i="1" s="1"/>
  <c r="H67" i="1"/>
  <c r="I67" i="1" s="1"/>
  <c r="H68" i="1"/>
  <c r="I68" i="1" s="1"/>
  <c r="H69" i="1"/>
  <c r="I69" i="1" s="1"/>
  <c r="H70" i="1"/>
  <c r="I70" i="1" s="1"/>
  <c r="H71" i="1"/>
  <c r="I71" i="1" s="1"/>
  <c r="H72" i="1"/>
  <c r="I72" i="1" s="1"/>
  <c r="H73" i="1"/>
  <c r="I73" i="1" s="1"/>
  <c r="H74" i="1"/>
  <c r="I74" i="1" s="1"/>
  <c r="H75" i="1"/>
  <c r="I75" i="1" s="1"/>
  <c r="H76" i="1"/>
  <c r="I76" i="1" s="1"/>
  <c r="H77" i="1"/>
  <c r="I77" i="1" s="1"/>
  <c r="H78" i="1"/>
  <c r="I78" i="1" s="1"/>
  <c r="H79" i="1"/>
  <c r="I79" i="1" s="1"/>
  <c r="H80" i="1"/>
  <c r="I80" i="1" s="1"/>
  <c r="H81" i="1"/>
  <c r="I81" i="1" s="1"/>
  <c r="H82" i="1"/>
  <c r="I82" i="1" s="1"/>
  <c r="H83" i="1"/>
  <c r="I83" i="1" s="1"/>
  <c r="H84" i="1"/>
  <c r="I84" i="1" s="1"/>
  <c r="H85" i="1"/>
  <c r="I85" i="1" s="1"/>
  <c r="H86" i="1"/>
  <c r="I86" i="1" s="1"/>
  <c r="H87" i="1"/>
  <c r="I87" i="1" s="1"/>
  <c r="H88" i="1"/>
  <c r="I88" i="1" s="1"/>
  <c r="H89" i="1"/>
  <c r="I89" i="1" s="1"/>
  <c r="H90" i="1"/>
  <c r="I90" i="1" s="1"/>
  <c r="H91" i="1"/>
  <c r="I91" i="1" s="1"/>
  <c r="H92" i="1"/>
  <c r="I92" i="1" s="1"/>
  <c r="H93" i="1"/>
  <c r="I93" i="1" s="1"/>
  <c r="H94" i="1"/>
  <c r="I94" i="1" s="1"/>
  <c r="H95" i="1"/>
  <c r="I95" i="1" s="1"/>
  <c r="H96" i="1"/>
  <c r="I96" i="1" s="1"/>
  <c r="H97" i="1"/>
  <c r="I97" i="1" s="1"/>
  <c r="H98" i="1"/>
  <c r="I98" i="1" s="1"/>
  <c r="H99" i="1"/>
  <c r="I99" i="1" s="1"/>
  <c r="H100" i="1"/>
  <c r="I100" i="1" s="1"/>
  <c r="H101" i="1"/>
  <c r="I101" i="1" s="1"/>
  <c r="H102" i="1"/>
  <c r="I102" i="1" s="1"/>
  <c r="H103" i="1"/>
  <c r="I103" i="1" s="1"/>
  <c r="H104" i="1"/>
  <c r="I104" i="1" s="1"/>
  <c r="H105" i="1"/>
  <c r="I105" i="1" s="1"/>
  <c r="H106" i="1"/>
  <c r="I106" i="1" s="1"/>
  <c r="H107" i="1"/>
  <c r="I107" i="1" s="1"/>
  <c r="H108" i="1"/>
  <c r="I108" i="1" s="1"/>
  <c r="H109" i="1"/>
  <c r="I109" i="1" s="1"/>
  <c r="H110" i="1"/>
  <c r="I110" i="1" s="1"/>
  <c r="H111" i="1"/>
  <c r="I111" i="1" s="1"/>
  <c r="H112" i="1"/>
  <c r="I112" i="1" s="1"/>
  <c r="H113" i="1"/>
  <c r="I113" i="1" s="1"/>
  <c r="H114" i="1"/>
  <c r="I114" i="1" s="1"/>
  <c r="H115" i="1"/>
  <c r="I115" i="1" s="1"/>
  <c r="H116" i="1"/>
  <c r="I116" i="1" s="1"/>
  <c r="H117" i="1"/>
  <c r="I117" i="1" s="1"/>
  <c r="H118" i="1"/>
  <c r="I118" i="1" s="1"/>
  <c r="H119" i="1"/>
  <c r="I119" i="1" s="1"/>
  <c r="H120" i="1"/>
  <c r="I120" i="1" s="1"/>
  <c r="H121" i="1"/>
  <c r="I121" i="1" s="1"/>
  <c r="H122" i="1"/>
  <c r="I122" i="1" s="1"/>
  <c r="H123" i="1"/>
  <c r="I123" i="1" s="1"/>
  <c r="H124" i="1"/>
  <c r="I124" i="1" s="1"/>
  <c r="H125" i="1"/>
  <c r="I125" i="1" s="1"/>
  <c r="H126" i="1"/>
  <c r="I126" i="1" s="1"/>
  <c r="H127" i="1"/>
  <c r="I127" i="1" s="1"/>
  <c r="H128" i="1"/>
  <c r="I128" i="1" s="1"/>
  <c r="H129" i="1"/>
  <c r="I129" i="1" s="1"/>
  <c r="H130" i="1"/>
  <c r="I130" i="1" s="1"/>
  <c r="H131" i="1"/>
  <c r="I131" i="1" s="1"/>
  <c r="H132" i="1"/>
  <c r="I132" i="1" s="1"/>
  <c r="H133" i="1"/>
  <c r="I133" i="1" s="1"/>
  <c r="H134" i="1"/>
  <c r="I134" i="1" s="1"/>
  <c r="H135" i="1"/>
  <c r="I135" i="1" s="1"/>
  <c r="H136" i="1"/>
  <c r="I136" i="1" s="1"/>
  <c r="H137" i="1"/>
  <c r="I137" i="1" s="1"/>
  <c r="H138" i="1"/>
  <c r="I138" i="1" s="1"/>
  <c r="H139" i="1"/>
  <c r="I139" i="1" s="1"/>
  <c r="H140" i="1"/>
  <c r="I140" i="1" s="1"/>
  <c r="H141" i="1"/>
  <c r="I141" i="1" s="1"/>
  <c r="H142" i="1"/>
  <c r="I142" i="1" s="1"/>
  <c r="H143" i="1"/>
  <c r="I143" i="1" s="1"/>
  <c r="H144" i="1"/>
  <c r="I144" i="1" s="1"/>
  <c r="H145" i="1"/>
  <c r="I145" i="1" s="1"/>
  <c r="H146" i="1"/>
  <c r="I146" i="1" s="1"/>
  <c r="H147" i="1"/>
  <c r="I147" i="1" s="1"/>
  <c r="H148" i="1"/>
  <c r="I148" i="1" s="1"/>
  <c r="H149" i="1"/>
  <c r="I149" i="1" s="1"/>
  <c r="H150" i="1"/>
  <c r="I150" i="1" s="1"/>
  <c r="H151" i="1"/>
  <c r="I151" i="1" s="1"/>
  <c r="H152" i="1"/>
  <c r="I152" i="1" s="1"/>
  <c r="H153" i="1"/>
  <c r="I153" i="1" s="1"/>
  <c r="H154" i="1"/>
  <c r="I154" i="1" s="1"/>
  <c r="H155" i="1"/>
  <c r="I155" i="1" s="1"/>
  <c r="H156" i="1"/>
  <c r="I156" i="1" s="1"/>
  <c r="H157" i="1"/>
  <c r="I157" i="1" s="1"/>
  <c r="H158" i="1"/>
  <c r="I158" i="1" s="1"/>
  <c r="H159" i="1"/>
  <c r="I159" i="1" s="1"/>
  <c r="H160" i="1"/>
  <c r="I160" i="1" s="1"/>
  <c r="H161" i="1"/>
  <c r="I161" i="1" s="1"/>
  <c r="H162" i="1"/>
  <c r="I162" i="1" s="1"/>
  <c r="H163" i="1"/>
  <c r="I163" i="1" s="1"/>
  <c r="H164" i="1"/>
  <c r="I164" i="1" s="1"/>
  <c r="H165" i="1"/>
  <c r="I165" i="1" s="1"/>
  <c r="H166" i="1"/>
  <c r="I166" i="1" s="1"/>
  <c r="H167" i="1"/>
  <c r="I167" i="1" s="1"/>
  <c r="H168" i="1"/>
  <c r="I168" i="1" s="1"/>
  <c r="H169" i="1"/>
  <c r="I169" i="1" s="1"/>
  <c r="H170" i="1"/>
  <c r="I170" i="1" s="1"/>
  <c r="H171" i="1"/>
  <c r="I171" i="1" s="1"/>
  <c r="H172" i="1"/>
  <c r="I172" i="1" s="1"/>
  <c r="H173" i="1"/>
  <c r="I173" i="1" s="1"/>
  <c r="H174" i="1"/>
  <c r="I174" i="1" s="1"/>
  <c r="H175" i="1"/>
  <c r="I175" i="1" s="1"/>
  <c r="H176" i="1"/>
  <c r="I176" i="1" s="1"/>
  <c r="H177" i="1"/>
  <c r="I177" i="1" s="1"/>
  <c r="H178" i="1"/>
  <c r="I178" i="1" s="1"/>
  <c r="H179" i="1"/>
  <c r="I179" i="1" s="1"/>
  <c r="H180" i="1"/>
  <c r="I180" i="1" s="1"/>
  <c r="H181" i="1"/>
  <c r="I181" i="1" s="1"/>
  <c r="H182" i="1"/>
  <c r="I182" i="1" s="1"/>
  <c r="H183" i="1"/>
  <c r="I183" i="1" s="1"/>
  <c r="H184" i="1"/>
  <c r="I184" i="1" s="1"/>
  <c r="H185" i="1"/>
  <c r="I185" i="1" s="1"/>
  <c r="H186" i="1"/>
  <c r="I186" i="1" s="1"/>
  <c r="H187" i="1"/>
  <c r="I187" i="1" s="1"/>
  <c r="H188" i="1"/>
  <c r="I188" i="1" s="1"/>
  <c r="H189" i="1"/>
  <c r="I189" i="1" s="1"/>
  <c r="H190" i="1"/>
  <c r="I190" i="1" s="1"/>
  <c r="H191" i="1"/>
  <c r="I191" i="1" s="1"/>
  <c r="H192" i="1"/>
  <c r="I192" i="1" s="1"/>
  <c r="H193" i="1"/>
  <c r="I193" i="1" s="1"/>
  <c r="H194" i="1"/>
  <c r="I194" i="1" s="1"/>
  <c r="H195" i="1"/>
  <c r="I195" i="1" s="1"/>
  <c r="H196" i="1"/>
  <c r="I196" i="1" s="1"/>
  <c r="H197" i="1"/>
  <c r="I197" i="1" s="1"/>
  <c r="H198" i="1"/>
  <c r="I198" i="1" s="1"/>
  <c r="H199" i="1"/>
  <c r="I199" i="1" s="1"/>
  <c r="H200" i="1"/>
  <c r="I200" i="1" s="1"/>
  <c r="H201" i="1"/>
  <c r="I201" i="1" s="1"/>
  <c r="H202" i="1"/>
  <c r="I202" i="1" s="1"/>
  <c r="H203" i="1"/>
  <c r="I203" i="1" s="1"/>
  <c r="H204" i="1"/>
  <c r="I204" i="1" s="1"/>
  <c r="H205" i="1"/>
  <c r="I205" i="1" s="1"/>
  <c r="H206" i="1"/>
  <c r="I206" i="1" s="1"/>
  <c r="H207" i="1"/>
  <c r="I207" i="1" s="1"/>
  <c r="H208" i="1"/>
  <c r="I208" i="1" s="1"/>
  <c r="H209" i="1"/>
  <c r="I209" i="1" s="1"/>
  <c r="H210" i="1"/>
  <c r="I210" i="1" s="1"/>
  <c r="H211" i="1"/>
  <c r="I211" i="1" s="1"/>
  <c r="H212" i="1"/>
  <c r="I212" i="1" s="1"/>
  <c r="H213" i="1"/>
  <c r="I213" i="1" s="1"/>
  <c r="H214" i="1"/>
  <c r="I214" i="1" s="1"/>
  <c r="H215" i="1"/>
  <c r="I215" i="1" s="1"/>
  <c r="H216" i="1"/>
  <c r="I216" i="1" s="1"/>
  <c r="H217" i="1"/>
  <c r="I217" i="1" s="1"/>
  <c r="H218" i="1"/>
  <c r="I218" i="1" s="1"/>
  <c r="H219" i="1"/>
  <c r="I219" i="1" s="1"/>
  <c r="H220" i="1"/>
  <c r="I220" i="1" s="1"/>
  <c r="H221" i="1"/>
  <c r="I221" i="1" s="1"/>
  <c r="H222" i="1"/>
  <c r="I222" i="1" s="1"/>
  <c r="H223" i="1"/>
  <c r="I223" i="1" s="1"/>
  <c r="H224" i="1"/>
  <c r="I224" i="1" s="1"/>
  <c r="H225" i="1"/>
  <c r="I225" i="1" s="1"/>
  <c r="H226" i="1"/>
  <c r="I226" i="1" s="1"/>
  <c r="H227" i="1"/>
  <c r="I227" i="1" s="1"/>
  <c r="H228" i="1"/>
  <c r="I228" i="1" s="1"/>
  <c r="H229" i="1"/>
  <c r="I229" i="1" s="1"/>
  <c r="H230" i="1"/>
  <c r="I230" i="1" s="1"/>
  <c r="H231" i="1"/>
  <c r="I231" i="1" s="1"/>
  <c r="H232" i="1"/>
  <c r="I232" i="1" s="1"/>
  <c r="H233" i="1"/>
  <c r="I233" i="1" s="1"/>
  <c r="H234" i="1"/>
  <c r="I234" i="1" s="1"/>
  <c r="H235" i="1"/>
  <c r="I235" i="1" s="1"/>
  <c r="H236" i="1"/>
  <c r="I236" i="1" s="1"/>
  <c r="H237" i="1"/>
  <c r="I237" i="1" s="1"/>
  <c r="H238" i="1"/>
  <c r="I238" i="1" s="1"/>
  <c r="H239" i="1"/>
  <c r="I239" i="1" s="1"/>
  <c r="H240" i="1"/>
  <c r="I240" i="1" s="1"/>
  <c r="H241" i="1"/>
  <c r="I241" i="1" s="1"/>
  <c r="H242" i="1"/>
  <c r="I242" i="1" s="1"/>
  <c r="H243" i="1"/>
  <c r="I243" i="1" s="1"/>
  <c r="H244" i="1"/>
  <c r="I244" i="1" s="1"/>
  <c r="H245" i="1"/>
  <c r="I245" i="1" s="1"/>
  <c r="H246" i="1"/>
  <c r="I246" i="1" s="1"/>
  <c r="H247" i="1"/>
  <c r="I247" i="1" s="1"/>
  <c r="H248" i="1"/>
  <c r="I248" i="1" s="1"/>
  <c r="H249" i="1"/>
  <c r="I249" i="1" s="1"/>
  <c r="H250" i="1"/>
  <c r="I250" i="1" s="1"/>
  <c r="H251" i="1"/>
  <c r="I251" i="1" s="1"/>
  <c r="H252" i="1"/>
  <c r="I252" i="1" s="1"/>
  <c r="H253" i="1"/>
  <c r="I253" i="1" s="1"/>
  <c r="H254" i="1"/>
  <c r="I254" i="1" s="1"/>
  <c r="H255" i="1"/>
  <c r="I255" i="1" s="1"/>
  <c r="H256" i="1"/>
  <c r="I256" i="1" s="1"/>
  <c r="H257" i="1"/>
  <c r="I257" i="1" s="1"/>
  <c r="H258" i="1"/>
  <c r="I258" i="1" s="1"/>
  <c r="H259" i="1"/>
  <c r="I259" i="1" s="1"/>
  <c r="H260" i="1"/>
  <c r="I260" i="1" s="1"/>
  <c r="H261" i="1"/>
  <c r="I261" i="1" s="1"/>
  <c r="H262" i="1"/>
  <c r="I262" i="1" s="1"/>
  <c r="H263" i="1"/>
  <c r="I263" i="1" s="1"/>
  <c r="H264" i="1"/>
  <c r="I264" i="1" s="1"/>
  <c r="H265" i="1"/>
  <c r="I265" i="1" s="1"/>
  <c r="H266" i="1"/>
  <c r="I266" i="1" s="1"/>
  <c r="H267" i="1"/>
  <c r="I267" i="1" s="1"/>
  <c r="H268" i="1"/>
  <c r="I268" i="1" s="1"/>
  <c r="H269" i="1"/>
  <c r="I269" i="1" s="1"/>
  <c r="H270" i="1"/>
  <c r="I270" i="1" s="1"/>
  <c r="H271" i="1"/>
  <c r="I271" i="1" s="1"/>
  <c r="H272" i="1"/>
  <c r="I272" i="1" s="1"/>
  <c r="H273" i="1"/>
  <c r="I273" i="1" s="1"/>
  <c r="H274" i="1"/>
  <c r="I274" i="1" s="1"/>
  <c r="H275" i="1"/>
  <c r="I275" i="1" s="1"/>
  <c r="H276" i="1"/>
  <c r="I276" i="1" s="1"/>
  <c r="H277" i="1"/>
  <c r="I277" i="1" s="1"/>
  <c r="H278" i="1"/>
  <c r="I278" i="1" s="1"/>
  <c r="H279" i="1"/>
  <c r="I279" i="1" s="1"/>
  <c r="H280" i="1"/>
  <c r="I280" i="1" s="1"/>
  <c r="H281" i="1"/>
  <c r="I281" i="1" s="1"/>
  <c r="H282" i="1"/>
  <c r="I282" i="1" s="1"/>
  <c r="H283" i="1"/>
  <c r="I283" i="1" s="1"/>
  <c r="H284" i="1"/>
  <c r="I284" i="1" s="1"/>
  <c r="H285" i="1"/>
  <c r="I285" i="1" s="1"/>
  <c r="H286" i="1"/>
  <c r="I286" i="1" s="1"/>
  <c r="H287" i="1"/>
  <c r="I287" i="1" s="1"/>
  <c r="H288" i="1"/>
  <c r="I288" i="1" s="1"/>
  <c r="H289" i="1"/>
  <c r="I289" i="1" s="1"/>
  <c r="H290" i="1"/>
  <c r="I290" i="1" s="1"/>
  <c r="H291" i="1"/>
  <c r="I291" i="1" s="1"/>
  <c r="H292" i="1"/>
  <c r="I292" i="1" s="1"/>
  <c r="H293" i="1"/>
  <c r="I293" i="1" s="1"/>
  <c r="H294" i="1"/>
  <c r="I294" i="1" s="1"/>
  <c r="H295" i="1"/>
  <c r="I295" i="1" s="1"/>
  <c r="H296" i="1"/>
  <c r="I296" i="1" s="1"/>
  <c r="H297" i="1"/>
  <c r="I297" i="1" s="1"/>
  <c r="H298" i="1"/>
  <c r="I298" i="1" s="1"/>
  <c r="H299" i="1"/>
  <c r="I299" i="1" s="1"/>
  <c r="H300" i="1"/>
  <c r="I300" i="1" s="1"/>
  <c r="H301" i="1"/>
  <c r="I301" i="1" s="1"/>
  <c r="H302" i="1"/>
  <c r="I302" i="1" s="1"/>
  <c r="H303" i="1"/>
  <c r="I303" i="1" s="1"/>
  <c r="H304" i="1"/>
  <c r="I304" i="1" s="1"/>
  <c r="H305" i="1"/>
  <c r="I305" i="1" s="1"/>
  <c r="H306" i="1"/>
  <c r="I306" i="1" s="1"/>
  <c r="H307" i="1"/>
  <c r="I307" i="1" s="1"/>
  <c r="H308" i="1"/>
  <c r="I308" i="1" s="1"/>
  <c r="H309" i="1"/>
  <c r="I309" i="1" s="1"/>
  <c r="H310" i="1"/>
  <c r="I310" i="1" s="1"/>
  <c r="H311" i="1"/>
  <c r="I311" i="1" s="1"/>
  <c r="B5" i="5" a="1"/>
  <c r="D11" i="3"/>
  <c r="C11" i="3"/>
  <c r="D10" i="3"/>
  <c r="C10" i="3"/>
  <c r="C9" i="3"/>
  <c r="D8" i="3"/>
  <c r="C8" i="3"/>
  <c r="D7" i="3"/>
  <c r="C7" i="3"/>
  <c r="C6" i="3"/>
  <c r="D6" i="3"/>
  <c r="D5" i="3"/>
  <c r="D4" i="3"/>
  <c r="C5" i="3"/>
  <c r="C4" i="3"/>
  <c r="D10" i="12" l="1"/>
  <c r="C10" i="12"/>
  <c r="C6" i="5"/>
  <c r="D6" i="5" s="1"/>
  <c r="E6" i="5"/>
  <c r="E9" i="5"/>
  <c r="E8" i="5"/>
  <c r="E7" i="5"/>
  <c r="E5" i="5"/>
  <c r="C5" i="5"/>
  <c r="D5" i="5" s="1"/>
  <c r="C7" i="5"/>
  <c r="D7" i="5" s="1"/>
  <c r="C8" i="5"/>
  <c r="D8" i="5" s="1"/>
  <c r="C9" i="5"/>
  <c r="D9" i="5" s="1"/>
  <c r="E10" i="5"/>
  <c r="C10" i="5"/>
  <c r="D10"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A9C780-15F8-4EB8-BF6F-13AE6DE9D28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B96C429-1036-4E4B-86AA-BD17AB909873}" name="WorksheetConnection_beginner-DA-course-blank.xlsx!Data" type="102" refreshedVersion="8" minRefreshableVersion="5">
    <extLst>
      <ext xmlns:x15="http://schemas.microsoft.com/office/spreadsheetml/2010/11/main" uri="{DE250136-89BD-433C-8126-D09CA5730AF9}">
        <x15:connection id="Data" autoDelete="1">
          <x15:rangePr sourceName="_xlcn.WorksheetConnection_beginnerDAcourseblank.xlsxData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<sst xmlns="http://schemas.openxmlformats.org/spreadsheetml/2006/main" count="2889" uniqueCount="86">
  <si>
    <t>Product</t>
  </si>
  <si>
    <t>Amount</t>
  </si>
  <si>
    <t>Barr Faughny</t>
  </si>
  <si>
    <t>Gunar Cockshoot</t>
  </si>
  <si>
    <t>Almond Choco</t>
  </si>
  <si>
    <t>Gigi Bohling</t>
  </si>
  <si>
    <t>Curtice Advani</t>
  </si>
  <si>
    <t>Ches Bonnell</t>
  </si>
  <si>
    <t>Brien Boise</t>
  </si>
  <si>
    <t>Husein Augar</t>
  </si>
  <si>
    <t>Oby Sorrel</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</si>
  <si>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</si>
  <si>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</si>
  <si>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</si>
  <si>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</si>
  <si>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</si>
  <si>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</si>
  <si>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</si>
  <si>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</si>
  <si>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</si>
  <si>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</si>
  <si>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</si>
  <si>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</si>
  <si>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</si>
  <si>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</si>
  <si>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</si>
  <si>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</si>
  <si>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</si>
  <si>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</si>
  <si>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</si>
  <si>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</si>
  <si>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</si>
  <si>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</si>
  <si>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</si>
  <si>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India</t>
  </si>
  <si>
    <t>USA</t>
  </si>
  <si>
    <t>Canada</t>
  </si>
  <si>
    <t>New Zealand</t>
  </si>
  <si>
    <t>Australia</t>
  </si>
  <si>
    <t>UK</t>
  </si>
  <si>
    <t>Ram Mahesh</t>
  </si>
  <si>
    <t>Carla Molina</t>
  </si>
  <si>
    <t>Questions</t>
  </si>
  <si>
    <t>Quick statistics</t>
  </si>
  <si>
    <t>Sales by country (with formulas)</t>
  </si>
  <si>
    <t>Sales by country (with pivots)</t>
  </si>
  <si>
    <t>Dynamic country-level Sales Report</t>
  </si>
  <si>
    <t>Which products to discontinue?</t>
  </si>
  <si>
    <t>Best Sales person by country</t>
  </si>
  <si>
    <t>Units</t>
  </si>
  <si>
    <t>Cost per unit</t>
  </si>
  <si>
    <t>Profits by product (using products table) - See column Y</t>
  </si>
  <si>
    <t>Exploratory Data Analysis (EDA) with CF</t>
  </si>
  <si>
    <t>Top 5 products by $ per unit</t>
  </si>
  <si>
    <t>Are there any anomalies in the data?</t>
  </si>
  <si>
    <t xml:space="preserve">Average </t>
  </si>
  <si>
    <t>Median</t>
  </si>
  <si>
    <t xml:space="preserve">Amount </t>
  </si>
  <si>
    <t>Unit</t>
  </si>
  <si>
    <t>Minimum</t>
  </si>
  <si>
    <t xml:space="preserve">Maximum </t>
  </si>
  <si>
    <t>Range</t>
  </si>
  <si>
    <t xml:space="preserve">Distinct count of products </t>
  </si>
  <si>
    <t>Statistics</t>
  </si>
  <si>
    <t xml:space="preserve">First Q </t>
  </si>
  <si>
    <t>Third Q</t>
  </si>
  <si>
    <t xml:space="preserve">Country </t>
  </si>
  <si>
    <t>4. Sales by country (with pivots)</t>
  </si>
  <si>
    <t>Country</t>
  </si>
  <si>
    <t>Row Labels</t>
  </si>
  <si>
    <t>Grand Total</t>
  </si>
  <si>
    <t>Sum of Amount</t>
  </si>
  <si>
    <t>Sum of Units</t>
  </si>
  <si>
    <t xml:space="preserve">  </t>
  </si>
  <si>
    <t>Sales per Unit</t>
  </si>
  <si>
    <t>cost</t>
  </si>
  <si>
    <t xml:space="preserve">Total Profit </t>
  </si>
  <si>
    <t>Pick a Country</t>
  </si>
  <si>
    <t xml:space="preserve">No.Of. Transactions </t>
  </si>
  <si>
    <t xml:space="preserve">Sales </t>
  </si>
  <si>
    <t xml:space="preserve">Cost </t>
  </si>
  <si>
    <t xml:space="preserve">Profit </t>
  </si>
  <si>
    <t>Quantity</t>
  </si>
  <si>
    <t xml:space="preserve">Total </t>
  </si>
  <si>
    <t>By Sales person</t>
  </si>
  <si>
    <t xml:space="preserve">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</si>
</sst>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 #,##0;[Red]&quot;₹&quot;\ \-#,##0"/>
    <numFmt numFmtId="164" formatCode="&quot;$&quot;#,##0_);[Red]\(&quot;$&quot;#,##0\)"/>
    <numFmt numFmtId="165" formatCode="&quot;$&quot;#,##0.00_);[Red]\(&quot;$&quot;#,##0.00\)"/>
    <numFmt numFmtId="166" formatCode="&quot;₹&quot;\ #,##0.00"/>
    <numFmt numFmtId="167" formatCode="&quot;₹&quot;\ #,##0"/>
    <numFmt numFmtId="180" formatCode="0%;\-0%;0%"/>
  </numFmts>
  <fonts count="19" x14ac:knownFonts="1">
    <font>
      <sz val="11"/>
      <color theme="1"/>
      <name val="Calibri"/>
      <family val="2"/>
      <scheme val="minor"/>
    </font>
    <font>
      <sz val="28"/>
      <color theme="1"/>
      <name val="Segoe UI Light"/>
      <family val="2"/>
    </font>
    <font>
      <b/>
      <sz val="11"/>
      <color theme="1"/>
      <name val="Calibri"/>
      <family val="2"/>
      <scheme val="minor"/>
    </font>
    <font>
      <sz val="20"/>
      <color theme="1"/>
      <name val="Calibri"/>
      <family val="2"/>
      <scheme val="minor"/>
    </font>
    <font>
      <sz val="22"/>
      <color theme="1"/>
      <name val="Calibri"/>
      <family val="2"/>
      <scheme val="minor"/>
    </font>
    <font>
      <sz val="24"/>
      <color theme="1"/>
      <name val="Calibri"/>
      <family val="2"/>
      <scheme val="minor"/>
    </font>
    <font>
      <sz val="28"/>
      <color theme="1"/>
      <name val="Calibri"/>
      <family val="2"/>
      <scheme val="minor"/>
    </font>
    <font>
      <sz val="10"/>
      <color theme="1"/>
      <name val="Calibri"/>
      <family val="2"/>
      <scheme val="minor"/>
    </font>
    <font>
      <b/>
      <sz val="12"/>
      <color theme="1"/>
      <name val="Calibri"/>
      <family val="2"/>
      <scheme val="minor"/>
    </font>
    <font>
      <b/>
      <sz val="20"/>
      <color theme="1"/>
      <name val="Calibri"/>
      <family val="2"/>
      <scheme val="minor"/>
    </font>
    <font>
      <b/>
      <sz val="28"/>
      <color theme="1"/>
      <name val="Calibri"/>
      <family val="2"/>
      <scheme val="minor"/>
    </font>
    <font>
      <sz val="12"/>
      <color theme="1"/>
      <name val="Calibri"/>
      <family val="2"/>
      <scheme val="minor"/>
    </font>
    <font>
      <b/>
      <sz val="14"/>
      <color theme="1"/>
      <name val="Calibri"/>
      <family val="2"/>
      <scheme val="minor"/>
    </font>
    <font>
      <sz val="14"/>
      <color theme="1"/>
      <name val="Calibri"/>
      <family val="2"/>
      <scheme val="minor"/>
    </font>
    <font>
      <sz val="16"/>
      <color theme="1"/>
      <name val="Calibri"/>
      <family val="2"/>
      <scheme val="minor"/>
    </font>
    <font>
      <b/>
      <sz val="18"/>
      <color theme="1"/>
      <name val="Calibri"/>
      <family val="2"/>
      <scheme val="minor"/>
    </font>
    <font>
      <sz val="18"/>
      <color theme="1"/>
      <name val="Calibri"/>
      <family val="2"/>
      <scheme val="minor"/>
    </font>
    <font>
      <b/>
      <sz val="24"/>
      <color theme="1"/>
      <name val="Calibri"/>
      <family val="2"/>
      <scheme val="minor"/>
    </font>
    <font>
      <b/>
      <i/>
      <sz val="12"/>
      <color theme="1"/>
      <name val="Calibri"/>
      <family val="2"/>
      <scheme val="minor"/>
    </font>
  </fonts>
  <fills count="15">
    <fill>
      <patternFill patternType="none"/>
    </fill>
    <fill>
      <patternFill patternType="gray125"/>
    </fill>
    <fill>
      <patternFill patternType="solid">
        <fgColor theme="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0" tint="-0.249977111117893"/>
        <bgColor indexed="64"/>
      </patternFill>
    </fill>
  </fills>
  <borders count="4">
    <border>
      <left/>
      <right/>
      <top/>
      <bottom/>
      <diagonal/>
    </border>
    <border>
      <left/>
      <right/>
      <top style="dotted">
        <color theme="0" tint="-0.24994659260841701"/>
      </top>
      <bottom style="dotted">
        <color theme="0" tint="-0.24994659260841701"/>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81">
    <xf numFmtId="0" fontId="0" fillId="0" borderId="0" xfId="0"/>
    <xf numFmtId="0" fontId="0" fillId="2" borderId="0" xfId="0" applyFill="1"/>
    <xf numFmtId="164" fontId="0" fillId="0" borderId="0" xfId="0" applyNumberFormat="1"/>
    <xf numFmtId="3" fontId="0" fillId="0" borderId="0" xfId="0" applyNumberFormat="1"/>
    <xf numFmtId="0" fontId="2" fillId="0" borderId="0" xfId="0" applyFont="1"/>
    <xf numFmtId="0" fontId="2" fillId="0" borderId="1" xfId="0" applyFont="1" applyBorder="1"/>
    <xf numFmtId="0" fontId="0" fillId="0" borderId="1" xfId="0" applyBorder="1"/>
    <xf numFmtId="0" fontId="2" fillId="2" borderId="0" xfId="0" applyFont="1" applyFill="1"/>
    <xf numFmtId="0" fontId="2" fillId="0" borderId="0" xfId="0" applyFont="1" applyAlignment="1">
      <alignment horizontal="right"/>
    </xf>
    <xf numFmtId="165" fontId="0" fillId="0" borderId="0" xfId="0" applyNumberFormat="1"/>
    <xf numFmtId="0" fontId="5" fillId="0" borderId="1" xfId="0" applyFont="1" applyBorder="1"/>
    <xf numFmtId="0" fontId="6" fillId="0" borderId="1" xfId="0" applyFont="1" applyBorder="1"/>
    <xf numFmtId="0" fontId="7" fillId="0" borderId="0" xfId="0" applyFont="1"/>
    <xf numFmtId="0" fontId="8" fillId="0" borderId="0" xfId="0" applyFont="1"/>
    <xf numFmtId="6" fontId="0" fillId="0" borderId="0" xfId="0" applyNumberFormat="1"/>
    <xf numFmtId="0" fontId="9" fillId="0" borderId="1" xfId="0" applyFont="1" applyBorder="1"/>
    <xf numFmtId="0" fontId="10" fillId="0" borderId="1" xfId="0" applyFont="1" applyBorder="1"/>
    <xf numFmtId="166" fontId="0" fillId="0" borderId="0" xfId="0" applyNumberFormat="1"/>
    <xf numFmtId="167" fontId="0" fillId="0" borderId="0" xfId="0" applyNumberFormat="1"/>
    <xf numFmtId="0" fontId="15" fillId="0" borderId="1" xfId="0" applyFont="1" applyBorder="1"/>
    <xf numFmtId="0" fontId="16" fillId="0" borderId="1" xfId="0" applyFont="1" applyBorder="1"/>
    <xf numFmtId="0" fontId="18" fillId="0" borderId="0" xfId="0" applyFont="1"/>
    <xf numFmtId="0" fontId="11" fillId="0" borderId="0" xfId="0" applyFont="1"/>
    <xf numFmtId="0" fontId="13" fillId="0" borderId="0" xfId="0" applyFont="1"/>
    <xf numFmtId="0" fontId="14" fillId="0" borderId="0" xfId="0" applyFont="1"/>
    <xf numFmtId="0" fontId="8" fillId="6" borderId="0" xfId="0" applyFont="1" applyFill="1"/>
    <xf numFmtId="0" fontId="11" fillId="9" borderId="0" xfId="0" applyFont="1" applyFill="1"/>
    <xf numFmtId="0" fontId="8" fillId="5" borderId="0" xfId="0" applyFont="1" applyFill="1" applyAlignment="1">
      <alignment horizontal="right"/>
    </xf>
    <xf numFmtId="0" fontId="11" fillId="5" borderId="0" xfId="0" applyFont="1" applyFill="1"/>
    <xf numFmtId="0" fontId="8" fillId="7" borderId="0" xfId="0" applyFont="1" applyFill="1"/>
    <xf numFmtId="0" fontId="17" fillId="11" borderId="1" xfId="0" applyFont="1" applyFill="1" applyBorder="1"/>
    <xf numFmtId="0" fontId="5" fillId="11" borderId="1" xfId="0" applyFont="1" applyFill="1" applyBorder="1"/>
    <xf numFmtId="0" fontId="0" fillId="11" borderId="0" xfId="0" applyFill="1"/>
    <xf numFmtId="0" fontId="11" fillId="12" borderId="0" xfId="0" applyFont="1" applyFill="1"/>
    <xf numFmtId="0" fontId="0" fillId="0" borderId="0" xfId="0" applyFill="1"/>
    <xf numFmtId="0" fontId="9" fillId="2" borderId="1" xfId="0" applyFont="1" applyFill="1" applyBorder="1"/>
    <xf numFmtId="0" fontId="11" fillId="0" borderId="0" xfId="0" pivotButton="1" applyFont="1"/>
    <xf numFmtId="0" fontId="11" fillId="0" borderId="0" xfId="0" applyFont="1" applyAlignment="1">
      <alignment horizontal="left"/>
    </xf>
    <xf numFmtId="167" fontId="11" fillId="0" borderId="0" xfId="0" applyNumberFormat="1" applyFont="1"/>
    <xf numFmtId="0" fontId="11" fillId="0" borderId="0" xfId="0" applyNumberFormat="1" applyFont="1"/>
    <xf numFmtId="180" fontId="11" fillId="0" borderId="0" xfId="0" applyNumberFormat="1" applyFont="1"/>
    <xf numFmtId="0" fontId="4" fillId="0" borderId="0" xfId="0" applyFont="1"/>
    <xf numFmtId="0" fontId="4" fillId="0" borderId="0" xfId="0" pivotButton="1" applyFont="1"/>
    <xf numFmtId="0" fontId="4" fillId="0" borderId="0" xfId="0" applyFont="1" applyAlignment="1">
      <alignment horizontal="left"/>
    </xf>
    <xf numFmtId="0" fontId="16" fillId="0" borderId="0" xfId="0" applyFont="1"/>
    <xf numFmtId="0" fontId="16" fillId="0" borderId="0" xfId="0" pivotButton="1" applyFont="1"/>
    <xf numFmtId="0" fontId="16" fillId="0" borderId="0" xfId="0" applyFont="1" applyAlignment="1">
      <alignment horizontal="left"/>
    </xf>
    <xf numFmtId="0" fontId="16" fillId="0" borderId="0" xfId="0" applyNumberFormat="1" applyFont="1"/>
    <xf numFmtId="0" fontId="16" fillId="0" borderId="0" xfId="0" applyFont="1" applyAlignment="1">
      <alignment horizontal="left" indent="1"/>
    </xf>
    <xf numFmtId="0" fontId="8" fillId="0" borderId="0" xfId="0" applyFont="1" applyAlignment="1">
      <alignment horizontal="right"/>
    </xf>
    <xf numFmtId="3" fontId="11" fillId="0" borderId="0" xfId="0" applyNumberFormat="1" applyFont="1"/>
    <xf numFmtId="0" fontId="14" fillId="0" borderId="0" xfId="0" pivotButton="1" applyFont="1"/>
    <xf numFmtId="0" fontId="14" fillId="0" borderId="0" xfId="0" applyFont="1" applyAlignment="1">
      <alignment horizontal="left"/>
    </xf>
    <xf numFmtId="1" fontId="4" fillId="0" borderId="0" xfId="0" applyNumberFormat="1" applyFont="1"/>
    <xf numFmtId="0" fontId="4" fillId="14" borderId="0" xfId="0" applyFont="1" applyFill="1" applyAlignment="1">
      <alignment horizontal="left"/>
    </xf>
    <xf numFmtId="1" fontId="4" fillId="14" borderId="0" xfId="0" applyNumberFormat="1" applyFont="1" applyFill="1"/>
    <xf numFmtId="0" fontId="3" fillId="13" borderId="0" xfId="0" applyFont="1" applyFill="1" applyBorder="1" applyAlignment="1">
      <alignment horizontal="center"/>
    </xf>
    <xf numFmtId="0" fontId="14" fillId="6" borderId="0" xfId="0" applyFont="1" applyFill="1" applyAlignment="1">
      <alignment horizontal="left"/>
    </xf>
    <xf numFmtId="167" fontId="14" fillId="6" borderId="0" xfId="0" applyNumberFormat="1" applyFont="1" applyFill="1"/>
    <xf numFmtId="0" fontId="14" fillId="6" borderId="0" xfId="0" applyNumberFormat="1" applyFont="1" applyFill="1"/>
    <xf numFmtId="0" fontId="12" fillId="5" borderId="2" xfId="0" applyFont="1" applyFill="1" applyBorder="1"/>
    <xf numFmtId="0" fontId="12" fillId="5" borderId="2" xfId="0" applyFont="1" applyFill="1" applyBorder="1" applyAlignment="1">
      <alignment horizontal="right"/>
    </xf>
    <xf numFmtId="0" fontId="13" fillId="3" borderId="3" xfId="0" applyFont="1" applyFill="1" applyBorder="1"/>
    <xf numFmtId="6" fontId="13" fillId="3" borderId="3" xfId="0" applyNumberFormat="1" applyFont="1" applyFill="1" applyBorder="1"/>
    <xf numFmtId="0" fontId="5" fillId="2" borderId="1" xfId="0" applyFont="1" applyFill="1" applyBorder="1"/>
    <xf numFmtId="6" fontId="13" fillId="0" borderId="0" xfId="0" applyNumberFormat="1" applyFont="1"/>
    <xf numFmtId="3" fontId="13" fillId="0" borderId="0" xfId="0" applyNumberFormat="1" applyFont="1"/>
    <xf numFmtId="0" fontId="9" fillId="3" borderId="0" xfId="0" applyFont="1" applyFill="1"/>
    <xf numFmtId="0" fontId="3" fillId="4" borderId="0" xfId="0" applyFont="1" applyFill="1"/>
    <xf numFmtId="6" fontId="3" fillId="4" borderId="0" xfId="0" applyNumberFormat="1" applyFont="1" applyFill="1"/>
    <xf numFmtId="0" fontId="4" fillId="13" borderId="0" xfId="0" applyFont="1" applyFill="1" applyAlignment="1">
      <alignment horizontal="center"/>
    </xf>
    <xf numFmtId="0" fontId="14" fillId="8" borderId="0" xfId="0" applyFont="1" applyFill="1" applyAlignment="1">
      <alignment horizontal="left"/>
    </xf>
    <xf numFmtId="167" fontId="14" fillId="8" borderId="0" xfId="0" applyNumberFormat="1" applyFont="1" applyFill="1"/>
    <xf numFmtId="167" fontId="14" fillId="0" borderId="0" xfId="0" applyNumberFormat="1" applyFont="1"/>
    <xf numFmtId="0" fontId="8" fillId="10" borderId="0" xfId="0" applyFont="1" applyFill="1"/>
    <xf numFmtId="0" fontId="11" fillId="10" borderId="0" xfId="0" applyFont="1" applyFill="1"/>
    <xf numFmtId="0" fontId="11" fillId="8" borderId="0" xfId="0" applyFont="1" applyFill="1"/>
    <xf numFmtId="167" fontId="8" fillId="8" borderId="0" xfId="0" applyNumberFormat="1" applyFont="1" applyFill="1"/>
    <xf numFmtId="0" fontId="8" fillId="8" borderId="0" xfId="0" applyFont="1" applyFill="1"/>
    <xf numFmtId="0" fontId="11" fillId="7" borderId="0" xfId="0" applyFont="1" applyFill="1"/>
    <xf numFmtId="0" fontId="1" fillId="0" borderId="0" xfId="0" applyFont="1" applyFill="1" applyAlignment="1">
      <alignment vertical="center"/>
    </xf>
  </cellXfs>
  <cellStyles count="1">
    <cellStyle name="Normal" xfId="0" builtinId="0"/>
  </cellStyles>
  <dxfs count="307">
    <dxf>
      <numFmt numFmtId="180" formatCode="0%;\-0%;0%"/>
    </dxf>
    <dxf>
      <numFmt numFmtId="180" formatCode="0%;\-0%;0%"/>
    </dxf>
    <dxf>
      <numFmt numFmtId="180" formatCode="0%;\-0%;0%"/>
    </dxf>
    <dxf>
      <font>
        <sz val="12"/>
      </font>
    </dxf>
    <dxf>
      <font>
        <sz val="12"/>
      </font>
    </dxf>
    <dxf>
      <font>
        <sz val="12"/>
      </font>
    </dxf>
    <dxf>
      <font>
        <sz val="12"/>
      </font>
    </dxf>
    <dxf>
      <font>
        <sz val="12"/>
      </font>
    </dxf>
    <dxf>
      <font>
        <sz val="12"/>
      </font>
    </dxf>
    <dxf>
      <numFmt numFmtId="180" formatCode="0%;\-0%;0%"/>
    </dxf>
    <dxf>
      <numFmt numFmtId="180" formatCode="0%;\-0%;0%"/>
    </dxf>
    <dxf>
      <numFmt numFmtId="180" formatCode="0%;\-0%;0%"/>
    </dxf>
    <dxf>
      <font>
        <sz val="12"/>
      </font>
    </dxf>
    <dxf>
      <font>
        <sz val="12"/>
      </font>
    </dxf>
    <dxf>
      <font>
        <sz val="12"/>
      </font>
    </dxf>
    <dxf>
      <font>
        <sz val="12"/>
      </font>
    </dxf>
    <dxf>
      <font>
        <sz val="12"/>
      </font>
    </dxf>
    <dxf>
      <font>
        <sz val="12"/>
      </font>
    </dxf>
    <dxf>
      <font>
        <sz val="16"/>
      </font>
    </dxf>
    <dxf>
      <font>
        <sz val="16"/>
      </font>
    </dxf>
    <dxf>
      <font>
        <sz val="16"/>
      </font>
    </dxf>
    <dxf>
      <font>
        <sz val="16"/>
      </font>
    </dxf>
    <dxf>
      <font>
        <sz val="16"/>
      </font>
    </dxf>
    <dxf>
      <font>
        <sz val="16"/>
      </font>
    </dxf>
    <dxf>
      <font>
        <sz val="18"/>
      </font>
    </dxf>
    <dxf>
      <font>
        <sz val="18"/>
      </font>
    </dxf>
    <dxf>
      <font>
        <sz val="18"/>
      </font>
    </dxf>
    <dxf>
      <font>
        <sz val="18"/>
      </font>
    </dxf>
    <dxf>
      <font>
        <sz val="18"/>
      </font>
    </dxf>
    <dxf>
      <font>
        <sz val="18"/>
      </font>
    </dxf>
    <dxf>
      <font>
        <sz val="16"/>
      </font>
    </dxf>
    <dxf>
      <font>
        <sz val="18"/>
      </font>
    </dxf>
    <dxf>
      <font>
        <sz val="20"/>
      </font>
    </dxf>
    <dxf>
      <font>
        <sz val="20"/>
      </font>
    </dxf>
    <dxf>
      <font>
        <sz val="20"/>
      </font>
    </dxf>
    <dxf>
      <font>
        <sz val="20"/>
      </font>
    </dxf>
    <dxf>
      <font>
        <sz val="20"/>
      </font>
    </dxf>
    <dxf>
      <font>
        <sz val="20"/>
      </font>
    </dxf>
    <dxf>
      <font>
        <sz val="20"/>
      </font>
    </dxf>
    <dxf>
      <font>
        <sz val="22"/>
      </font>
    </dxf>
    <dxf>
      <font>
        <sz val="22"/>
      </font>
    </dxf>
    <dxf>
      <font>
        <sz val="22"/>
      </font>
    </dxf>
    <dxf>
      <font>
        <sz val="22"/>
      </font>
    </dxf>
    <dxf>
      <font>
        <sz val="22"/>
      </font>
    </dxf>
    <dxf>
      <font>
        <sz val="22"/>
      </font>
    </dxf>
    <dxf>
      <font>
        <sz val="22"/>
      </font>
    </dxf>
    <dxf>
      <font>
        <sz val="24"/>
      </font>
    </dxf>
    <dxf>
      <font>
        <sz val="24"/>
      </font>
    </dxf>
    <dxf>
      <font>
        <sz val="24"/>
      </font>
    </dxf>
    <dxf>
      <font>
        <sz val="24"/>
      </font>
    </dxf>
    <dxf>
      <font>
        <sz val="24"/>
      </font>
    </dxf>
    <dxf>
      <font>
        <sz val="24"/>
      </font>
    </dxf>
    <dxf>
      <font>
        <sz val="24"/>
      </font>
    </dxf>
    <dxf>
      <font>
        <sz val="22"/>
      </font>
    </dxf>
    <dxf>
      <font>
        <sz val="22"/>
      </font>
    </dxf>
    <dxf>
      <font>
        <sz val="22"/>
      </font>
    </dxf>
    <dxf>
      <font>
        <sz val="22"/>
      </font>
    </dxf>
    <dxf>
      <font>
        <sz val="22"/>
      </font>
    </dxf>
    <dxf>
      <font>
        <sz val="22"/>
      </font>
    </dxf>
    <dxf>
      <font>
        <sz val="22"/>
      </font>
    </dxf>
    <dxf>
      <font>
        <sz val="20"/>
      </font>
    </dxf>
    <dxf>
      <font>
        <sz val="20"/>
      </font>
    </dxf>
    <dxf>
      <font>
        <sz val="20"/>
      </font>
    </dxf>
    <dxf>
      <font>
        <sz val="20"/>
      </font>
    </dxf>
    <dxf>
      <font>
        <sz val="20"/>
      </font>
    </dxf>
    <dxf>
      <font>
        <sz val="20"/>
      </font>
    </dxf>
    <dxf>
      <font>
        <sz val="20"/>
      </font>
    </dxf>
    <dxf>
      <font>
        <sz val="18"/>
      </font>
    </dxf>
    <dxf>
      <font>
        <sz val="18"/>
      </font>
    </dxf>
    <dxf>
      <font>
        <sz val="18"/>
      </font>
    </dxf>
    <dxf>
      <font>
        <sz val="18"/>
      </font>
    </dxf>
    <dxf>
      <font>
        <sz val="18"/>
      </font>
    </dxf>
    <dxf>
      <font>
        <sz val="18"/>
      </font>
    </dxf>
    <dxf>
      <font>
        <sz val="18"/>
      </font>
    </dxf>
    <dxf>
      <font>
        <sz val="16"/>
      </font>
    </dxf>
    <dxf>
      <font>
        <sz val="16"/>
      </font>
    </dxf>
    <dxf>
      <font>
        <sz val="16"/>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ill>
        <patternFill patternType="solid">
          <fgColor rgb="FFFFEB9C"/>
          <bgColor rgb="FF000000"/>
        </patternFill>
      </fill>
    </dxf>
    <dxf>
      <font>
        <color rgb="FF9C0006"/>
      </font>
      <fill>
        <patternFill>
          <bgColor rgb="FFFFC7CE"/>
        </patternFill>
      </fill>
    </dxf>
    <dxf>
      <font>
        <color rgb="FF9C5700"/>
      </font>
      <fill>
        <patternFill>
          <bgColor rgb="FFFFEB9C"/>
        </patternFill>
      </fill>
    </dxf>
    <dxf>
      <fill>
        <patternFill patternType="solid">
          <fgColor rgb="FFFFEB9C"/>
          <bgColor rgb="FF000000"/>
        </patternFill>
      </fill>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numFmt numFmtId="3" formatCode="#,##0"/>
    </dxf>
    <dxf>
      <font>
        <strike val="0"/>
        <outline val="0"/>
        <shadow val="0"/>
        <u val="none"/>
        <vertAlign val="baseline"/>
        <sz val="14"/>
        <color theme="1"/>
        <name val="Calibri"/>
        <family val="2"/>
        <scheme val="minor"/>
      </font>
      <numFmt numFmtId="10" formatCode="&quot;₹&quot;\ #,##0;[Red]&quot;₹&quot;\ \-#,##0"/>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b val="0"/>
      </font>
    </dxf>
    <dxf>
      <font>
        <b val="0"/>
      </font>
    </dxf>
    <dxf>
      <font>
        <b val="0"/>
      </font>
    </dxf>
    <dxf>
      <font>
        <b val="0"/>
      </font>
    </dxf>
    <dxf>
      <font>
        <b/>
      </font>
    </dxf>
    <dxf>
      <font>
        <b/>
      </font>
    </dxf>
    <dxf>
      <font>
        <b/>
      </font>
    </dxf>
    <dxf>
      <font>
        <b/>
      </font>
    </dxf>
    <dxf>
      <font>
        <b/>
      </font>
    </dxf>
    <dxf>
      <font>
        <b val="0"/>
      </font>
    </dxf>
    <dxf>
      <font>
        <sz val="16"/>
      </font>
    </dxf>
    <dxf>
      <font>
        <sz val="16"/>
      </font>
    </dxf>
    <dxf>
      <font>
        <sz val="16"/>
      </font>
    </dxf>
    <dxf>
      <font>
        <sz val="16"/>
      </font>
    </dxf>
    <dxf>
      <font>
        <sz val="14"/>
      </font>
    </dxf>
    <dxf>
      <font>
        <sz val="14"/>
      </font>
    </dxf>
    <dxf>
      <font>
        <sz val="14"/>
      </font>
    </dxf>
    <dxf>
      <font>
        <sz val="14"/>
      </font>
    </dxf>
    <dxf>
      <font>
        <sz val="14"/>
      </font>
    </dxf>
    <dxf>
      <font>
        <sz val="16"/>
      </font>
    </dxf>
    <dxf>
      <font>
        <sz val="12"/>
      </font>
    </dxf>
    <dxf>
      <font>
        <sz val="12"/>
      </font>
    </dxf>
    <dxf>
      <font>
        <sz val="12"/>
      </font>
    </dxf>
    <dxf>
      <font>
        <sz val="12"/>
      </font>
    </dxf>
    <dxf>
      <font>
        <sz val="12"/>
      </font>
    </dxf>
    <dxf>
      <font>
        <sz val="22"/>
      </font>
    </dxf>
    <dxf>
      <font>
        <sz val="22"/>
      </font>
    </dxf>
    <dxf>
      <font>
        <sz val="22"/>
      </font>
    </dxf>
    <dxf>
      <font>
        <sz val="22"/>
      </font>
    </dxf>
    <dxf>
      <font>
        <sz val="22"/>
      </font>
    </dxf>
    <dxf>
      <font>
        <sz val="22"/>
      </font>
    </dxf>
    <dxf>
      <fill>
        <patternFill patternType="solid">
          <bgColor theme="0" tint="-0.249977111117893"/>
        </patternFill>
      </fill>
    </dxf>
    <dxf>
      <font>
        <sz val="22"/>
      </font>
    </dxf>
    <dxf>
      <font>
        <sz val="22"/>
      </font>
    </dxf>
    <dxf>
      <font>
        <sz val="22"/>
      </font>
    </dxf>
    <dxf>
      <font>
        <sz val="22"/>
      </font>
    </dxf>
    <dxf>
      <font>
        <sz val="22"/>
      </font>
    </dxf>
    <dxf>
      <font>
        <sz val="22"/>
      </font>
    </dxf>
    <dxf>
      <fill>
        <patternFill patternType="solid">
          <bgColor theme="0" tint="-0.249977111117893"/>
        </patternFill>
      </fill>
    </dxf>
    <dxf>
      <fill>
        <patternFill patternType="solid">
          <bgColor theme="0" tint="-0.249977111117893"/>
        </patternFill>
      </fill>
    </dxf>
    <dxf>
      <font>
        <sz val="22"/>
      </font>
    </dxf>
    <dxf>
      <font>
        <sz val="22"/>
      </font>
    </dxf>
    <dxf>
      <font>
        <sz val="22"/>
      </font>
    </dxf>
    <dxf>
      <font>
        <sz val="22"/>
      </font>
    </dxf>
    <dxf>
      <font>
        <sz val="22"/>
      </font>
    </dxf>
    <dxf>
      <font>
        <sz val="22"/>
      </font>
    </dxf>
    <dxf>
      <font>
        <sz val="20"/>
      </font>
    </dxf>
    <dxf>
      <font>
        <sz val="20"/>
      </font>
    </dxf>
    <dxf>
      <font>
        <sz val="20"/>
      </font>
    </dxf>
    <dxf>
      <font>
        <sz val="20"/>
      </font>
    </dxf>
    <dxf>
      <font>
        <sz val="20"/>
      </font>
    </dxf>
    <dxf>
      <font>
        <sz val="20"/>
      </font>
    </dxf>
    <dxf>
      <font>
        <sz val="22"/>
      </font>
    </dxf>
    <dxf>
      <font>
        <sz val="20"/>
      </font>
    </dxf>
    <dxf>
      <font>
        <sz val="18"/>
      </font>
    </dxf>
    <dxf>
      <font>
        <sz val="18"/>
      </font>
    </dxf>
    <dxf>
      <font>
        <sz val="18"/>
      </font>
    </dxf>
    <dxf>
      <font>
        <sz val="18"/>
      </font>
    </dxf>
    <dxf>
      <font>
        <sz val="18"/>
      </font>
    </dxf>
    <dxf>
      <font>
        <sz val="18"/>
      </font>
    </dxf>
    <dxf>
      <font>
        <sz val="18"/>
      </font>
    </dxf>
    <dxf>
      <font>
        <sz val="16"/>
      </font>
    </dxf>
    <dxf>
      <font>
        <sz val="16"/>
      </font>
    </dxf>
    <dxf>
      <font>
        <sz val="16"/>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2"/>
      </font>
    </dxf>
    <dxf>
      <font>
        <strike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numFmt numFmtId="3" formatCode="#,##0"/>
    </dxf>
    <dxf>
      <font>
        <strike val="0"/>
        <outline val="0"/>
        <shadow val="0"/>
        <u val="none"/>
        <vertAlign val="baseline"/>
        <sz val="12"/>
        <color theme="1"/>
        <name val="Calibri"/>
        <family val="2"/>
        <scheme val="minor"/>
      </font>
      <numFmt numFmtId="167" formatCode="&quot;₹&quot;\ #,##0"/>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18"/>
      </font>
    </dxf>
    <dxf>
      <font>
        <sz val="20"/>
      </font>
    </dxf>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20"/>
      </font>
    </dxf>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2"/>
      </font>
    </dxf>
    <dxf>
      <font>
        <sz val="14"/>
      </font>
    </dxf>
    <dxf>
      <font>
        <sz val="12"/>
      </font>
    </dxf>
    <dxf>
      <font>
        <sz val="12"/>
      </font>
    </dxf>
    <dxf>
      <font>
        <sz val="12"/>
      </font>
    </dxf>
    <dxf>
      <font>
        <sz val="12"/>
      </font>
    </dxf>
    <dxf>
      <font>
        <sz val="12"/>
      </font>
    </dxf>
    <dxf>
      <font>
        <sz val="12"/>
      </font>
    </dxf>
    <dxf>
      <font>
        <sz val="12"/>
      </font>
    </dxf>
    <dxf>
      <numFmt numFmtId="167" formatCode="&quot;₹&quot;\ #,##0"/>
    </dxf>
    <dxf>
      <fill>
        <patternFill patternType="solid">
          <bgColor theme="0" tint="-0.14999847407452621"/>
        </patternFill>
      </fill>
    </dxf>
    <dxf>
      <fill>
        <patternFill patternType="solid">
          <bgColor theme="0" tint="-0.14999847407452621"/>
        </patternFill>
      </fill>
    </dxf>
    <dxf>
      <numFmt numFmtId="180" formatCode="0%;\-0%;0%"/>
    </dxf>
    <dxf>
      <numFmt numFmtId="180" formatCode="0%;\-0%;0%"/>
    </dxf>
    <dxf>
      <numFmt numFmtId="180" formatCode="0%;\-0%;0%"/>
    </dxf>
    <dxf>
      <fill>
        <patternFill patternType="solid">
          <bgColor theme="7" tint="0.59999389629810485"/>
        </patternFill>
      </fill>
    </dxf>
    <dxf>
      <numFmt numFmtId="167" formatCode="&quot;₹&quot;\ #,##0"/>
    </dxf>
    <dxf>
      <fill>
        <patternFill patternType="solid">
          <fgColor rgb="FFFFEB9C"/>
          <bgColor rgb="FF000000"/>
        </patternFill>
      </fill>
    </dxf>
    <dxf>
      <font>
        <b/>
        <i val="0"/>
        <strike val="0"/>
        <condense val="0"/>
        <extend val="0"/>
        <outline val="0"/>
        <shadow val="0"/>
        <u val="none"/>
        <vertAlign val="baseline"/>
        <sz val="11"/>
        <color theme="1"/>
        <name val="Calibri"/>
        <family val="2"/>
        <scheme val="minor"/>
      </font>
    </dxf>
    <dxf>
      <numFmt numFmtId="167" formatCode="&quot;₹&quot;\ #,##0"/>
    </dxf>
    <dxf>
      <numFmt numFmtId="166" formatCode="&quot;₹&quot;\ #,##0.00"/>
    </dxf>
    <dxf>
      <numFmt numFmtId="3" formatCode="#,##0"/>
    </dxf>
    <dxf>
      <numFmt numFmtId="10" formatCode="&quot;₹&quot;\ #,##0;[Red]&quot;₹&quot;\ \-#,##0"/>
    </dxf>
    <dxf>
      <font>
        <b/>
        <i val="0"/>
        <strike val="0"/>
        <condense val="0"/>
        <extend val="0"/>
        <outline val="0"/>
        <shadow val="0"/>
        <u val="none"/>
        <vertAlign val="baseline"/>
        <sz val="11"/>
        <color theme="1"/>
        <name val="Calibri"/>
        <family val="2"/>
        <scheme val="minor"/>
      </font>
    </dxf>
    <dxf>
      <numFmt numFmtId="165" formatCode="&quot;$&quot;#,##0.00_);[Red]\(&quot;$&quot;#,##0.00\)"/>
    </dxf>
    <dxf>
      <numFmt numFmtId="167"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2.xml"/><Relationship Id="rId27" Type="http://schemas.openxmlformats.org/officeDocument/2006/relationships/sharedStrings" Target="sharedString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Anamolies in the data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161536626103554E-2"/>
          <c:y val="0.15319444444444447"/>
          <c:w val="0.86582028155571467"/>
          <c:h val="0.72088764946048411"/>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'6'!$O$5:$O$304</c:f>
              <c:numCache>
                <c:formatCode>"₹"\ #,##0</c:formatCode>
                <c:ptCount val="300"/>
                <c:pt idx="0">
                  <c:v>1624</c:v>
                </c:pt>
                <c:pt idx="1">
                  <c:v>6706</c:v>
                </c:pt>
                <c:pt idx="2">
                  <c:v>959</c:v>
                </c:pt>
                <c:pt idx="3">
                  <c:v>9632</c:v>
                </c:pt>
                <c:pt idx="4">
                  <c:v>2100</c:v>
                </c:pt>
                <c:pt idx="5">
                  <c:v>8869</c:v>
                </c:pt>
                <c:pt idx="6">
                  <c:v>2681</c:v>
                </c:pt>
                <c:pt idx="7">
                  <c:v>5012</c:v>
                </c:pt>
                <c:pt idx="8">
                  <c:v>1281</c:v>
                </c:pt>
                <c:pt idx="9">
                  <c:v>4991</c:v>
                </c:pt>
                <c:pt idx="10">
                  <c:v>1785</c:v>
                </c:pt>
                <c:pt idx="11">
                  <c:v>3983</c:v>
                </c:pt>
                <c:pt idx="12">
                  <c:v>2646</c:v>
                </c:pt>
                <c:pt idx="13">
                  <c:v>252</c:v>
                </c:pt>
                <c:pt idx="14">
                  <c:v>2464</c:v>
                </c:pt>
                <c:pt idx="15">
                  <c:v>2114</c:v>
                </c:pt>
                <c:pt idx="16">
                  <c:v>7693</c:v>
                </c:pt>
                <c:pt idx="17">
                  <c:v>15610</c:v>
                </c:pt>
                <c:pt idx="18">
                  <c:v>336</c:v>
                </c:pt>
                <c:pt idx="19">
                  <c:v>9443</c:v>
                </c:pt>
                <c:pt idx="20">
                  <c:v>8155</c:v>
                </c:pt>
                <c:pt idx="21">
                  <c:v>1701</c:v>
                </c:pt>
                <c:pt idx="22">
                  <c:v>2205</c:v>
                </c:pt>
                <c:pt idx="23">
                  <c:v>1771</c:v>
                </c:pt>
                <c:pt idx="24">
                  <c:v>2114</c:v>
                </c:pt>
                <c:pt idx="25">
                  <c:v>10311</c:v>
                </c:pt>
                <c:pt idx="26">
                  <c:v>21</c:v>
                </c:pt>
                <c:pt idx="27">
                  <c:v>1974</c:v>
                </c:pt>
                <c:pt idx="28">
                  <c:v>6314</c:v>
                </c:pt>
                <c:pt idx="29">
                  <c:v>4683</c:v>
                </c:pt>
                <c:pt idx="30">
                  <c:v>6398</c:v>
                </c:pt>
                <c:pt idx="31">
                  <c:v>553</c:v>
                </c:pt>
                <c:pt idx="32">
                  <c:v>7021</c:v>
                </c:pt>
                <c:pt idx="33">
                  <c:v>5817</c:v>
                </c:pt>
                <c:pt idx="34">
                  <c:v>3976</c:v>
                </c:pt>
                <c:pt idx="35">
                  <c:v>1134</c:v>
                </c:pt>
                <c:pt idx="36">
                  <c:v>6027</c:v>
                </c:pt>
                <c:pt idx="37">
                  <c:v>1904</c:v>
                </c:pt>
                <c:pt idx="38">
                  <c:v>3262</c:v>
                </c:pt>
                <c:pt idx="39">
                  <c:v>2289</c:v>
                </c:pt>
                <c:pt idx="40">
                  <c:v>6986</c:v>
                </c:pt>
                <c:pt idx="41">
                  <c:v>4417</c:v>
                </c:pt>
                <c:pt idx="42">
                  <c:v>1442</c:v>
                </c:pt>
                <c:pt idx="43">
                  <c:v>2415</c:v>
                </c:pt>
                <c:pt idx="44">
                  <c:v>238</c:v>
                </c:pt>
                <c:pt idx="45">
                  <c:v>4949</c:v>
                </c:pt>
                <c:pt idx="46">
                  <c:v>5075</c:v>
                </c:pt>
                <c:pt idx="47">
                  <c:v>9198</c:v>
                </c:pt>
                <c:pt idx="48">
                  <c:v>3339</c:v>
                </c:pt>
                <c:pt idx="49">
                  <c:v>5019</c:v>
                </c:pt>
                <c:pt idx="50">
                  <c:v>16184</c:v>
                </c:pt>
                <c:pt idx="51">
                  <c:v>497</c:v>
                </c:pt>
                <c:pt idx="52">
                  <c:v>8211</c:v>
                </c:pt>
                <c:pt idx="53">
                  <c:v>6580</c:v>
                </c:pt>
                <c:pt idx="54">
                  <c:v>4760</c:v>
                </c:pt>
                <c:pt idx="55">
                  <c:v>5439</c:v>
                </c:pt>
                <c:pt idx="56">
                  <c:v>1463</c:v>
                </c:pt>
                <c:pt idx="57">
                  <c:v>7777</c:v>
                </c:pt>
                <c:pt idx="58">
                  <c:v>1085</c:v>
                </c:pt>
                <c:pt idx="59">
                  <c:v>182</c:v>
                </c:pt>
                <c:pt idx="60">
                  <c:v>4242</c:v>
                </c:pt>
                <c:pt idx="61">
                  <c:v>6118</c:v>
                </c:pt>
                <c:pt idx="62">
                  <c:v>2317</c:v>
                </c:pt>
                <c:pt idx="63">
                  <c:v>938</c:v>
                </c:pt>
                <c:pt idx="64">
                  <c:v>9709</c:v>
                </c:pt>
                <c:pt idx="65">
                  <c:v>2205</c:v>
                </c:pt>
                <c:pt idx="66">
                  <c:v>4487</c:v>
                </c:pt>
                <c:pt idx="67">
                  <c:v>2415</c:v>
                </c:pt>
                <c:pt idx="68">
                  <c:v>4018</c:v>
                </c:pt>
                <c:pt idx="69">
                  <c:v>861</c:v>
                </c:pt>
                <c:pt idx="70">
                  <c:v>5586</c:v>
                </c:pt>
                <c:pt idx="71">
                  <c:v>2226</c:v>
                </c:pt>
                <c:pt idx="72">
                  <c:v>14329</c:v>
                </c:pt>
                <c:pt idx="73">
                  <c:v>8463</c:v>
                </c:pt>
                <c:pt idx="74">
                  <c:v>2891</c:v>
                </c:pt>
                <c:pt idx="75">
                  <c:v>3773</c:v>
                </c:pt>
                <c:pt idx="76">
                  <c:v>854</c:v>
                </c:pt>
                <c:pt idx="77">
                  <c:v>4970</c:v>
                </c:pt>
                <c:pt idx="78">
                  <c:v>98</c:v>
                </c:pt>
                <c:pt idx="79">
                  <c:v>13391</c:v>
                </c:pt>
                <c:pt idx="80">
                  <c:v>8890</c:v>
                </c:pt>
                <c:pt idx="81">
                  <c:v>56</c:v>
                </c:pt>
                <c:pt idx="82">
                  <c:v>3339</c:v>
                </c:pt>
                <c:pt idx="83">
                  <c:v>3808</c:v>
                </c:pt>
                <c:pt idx="84">
                  <c:v>63</c:v>
                </c:pt>
                <c:pt idx="85">
                  <c:v>7812</c:v>
                </c:pt>
                <c:pt idx="86">
                  <c:v>7693</c:v>
                </c:pt>
                <c:pt idx="87">
                  <c:v>973</c:v>
                </c:pt>
                <c:pt idx="88">
                  <c:v>567</c:v>
                </c:pt>
                <c:pt idx="89">
                  <c:v>2471</c:v>
                </c:pt>
                <c:pt idx="90">
                  <c:v>7189</c:v>
                </c:pt>
                <c:pt idx="91">
                  <c:v>7455</c:v>
                </c:pt>
                <c:pt idx="92">
                  <c:v>3108</c:v>
                </c:pt>
                <c:pt idx="93">
                  <c:v>469</c:v>
                </c:pt>
                <c:pt idx="94">
                  <c:v>2737</c:v>
                </c:pt>
                <c:pt idx="95">
                  <c:v>4305</c:v>
                </c:pt>
                <c:pt idx="96">
                  <c:v>2408</c:v>
                </c:pt>
                <c:pt idx="97">
                  <c:v>1281</c:v>
                </c:pt>
                <c:pt idx="98">
                  <c:v>12348</c:v>
                </c:pt>
                <c:pt idx="99">
                  <c:v>3689</c:v>
                </c:pt>
                <c:pt idx="100">
                  <c:v>2870</c:v>
                </c:pt>
                <c:pt idx="101">
                  <c:v>798</c:v>
                </c:pt>
                <c:pt idx="102">
                  <c:v>2933</c:v>
                </c:pt>
                <c:pt idx="103">
                  <c:v>2744</c:v>
                </c:pt>
                <c:pt idx="104">
                  <c:v>9772</c:v>
                </c:pt>
                <c:pt idx="105">
                  <c:v>1568</c:v>
                </c:pt>
                <c:pt idx="106">
                  <c:v>11417</c:v>
                </c:pt>
                <c:pt idx="107">
                  <c:v>6748</c:v>
                </c:pt>
                <c:pt idx="108">
                  <c:v>1407</c:v>
                </c:pt>
                <c:pt idx="109">
                  <c:v>2023</c:v>
                </c:pt>
                <c:pt idx="110">
                  <c:v>5236</c:v>
                </c:pt>
                <c:pt idx="111">
                  <c:v>1925</c:v>
                </c:pt>
                <c:pt idx="112">
                  <c:v>6608</c:v>
                </c:pt>
                <c:pt idx="113">
                  <c:v>8008</c:v>
                </c:pt>
                <c:pt idx="114">
                  <c:v>1428</c:v>
                </c:pt>
                <c:pt idx="115">
                  <c:v>525</c:v>
                </c:pt>
                <c:pt idx="116">
                  <c:v>1505</c:v>
                </c:pt>
                <c:pt idx="117">
                  <c:v>6755</c:v>
                </c:pt>
                <c:pt idx="118">
                  <c:v>11571</c:v>
                </c:pt>
                <c:pt idx="119">
                  <c:v>2541</c:v>
                </c:pt>
                <c:pt idx="120">
                  <c:v>1526</c:v>
                </c:pt>
                <c:pt idx="121">
                  <c:v>6125</c:v>
                </c:pt>
                <c:pt idx="122">
                  <c:v>847</c:v>
                </c:pt>
                <c:pt idx="123">
                  <c:v>4753</c:v>
                </c:pt>
                <c:pt idx="124">
                  <c:v>959</c:v>
                </c:pt>
                <c:pt idx="125">
                  <c:v>2793</c:v>
                </c:pt>
                <c:pt idx="126">
                  <c:v>4606</c:v>
                </c:pt>
                <c:pt idx="127">
                  <c:v>5551</c:v>
                </c:pt>
                <c:pt idx="128">
                  <c:v>6657</c:v>
                </c:pt>
                <c:pt idx="129">
                  <c:v>4438</c:v>
                </c:pt>
                <c:pt idx="130">
                  <c:v>168</c:v>
                </c:pt>
                <c:pt idx="131">
                  <c:v>7777</c:v>
                </c:pt>
                <c:pt idx="132">
                  <c:v>3339</c:v>
                </c:pt>
                <c:pt idx="133">
                  <c:v>6391</c:v>
                </c:pt>
                <c:pt idx="134">
                  <c:v>518</c:v>
                </c:pt>
                <c:pt idx="135">
                  <c:v>5677</c:v>
                </c:pt>
                <c:pt idx="136">
                  <c:v>6048</c:v>
                </c:pt>
                <c:pt idx="137">
                  <c:v>3752</c:v>
                </c:pt>
                <c:pt idx="138">
                  <c:v>4480</c:v>
                </c:pt>
                <c:pt idx="139">
                  <c:v>259</c:v>
                </c:pt>
                <c:pt idx="140">
                  <c:v>42</c:v>
                </c:pt>
                <c:pt idx="141">
                  <c:v>98</c:v>
                </c:pt>
                <c:pt idx="142">
                  <c:v>2478</c:v>
                </c:pt>
                <c:pt idx="143">
                  <c:v>7847</c:v>
                </c:pt>
                <c:pt idx="144">
                  <c:v>9926</c:v>
                </c:pt>
                <c:pt idx="145">
                  <c:v>819</c:v>
                </c:pt>
                <c:pt idx="146">
                  <c:v>3052</c:v>
                </c:pt>
                <c:pt idx="147">
                  <c:v>6832</c:v>
                </c:pt>
                <c:pt idx="148">
                  <c:v>2016</c:v>
                </c:pt>
                <c:pt idx="149">
                  <c:v>7322</c:v>
                </c:pt>
                <c:pt idx="150">
                  <c:v>357</c:v>
                </c:pt>
                <c:pt idx="151">
                  <c:v>3192</c:v>
                </c:pt>
                <c:pt idx="152">
                  <c:v>8435</c:v>
                </c:pt>
                <c:pt idx="153">
                  <c:v>0</c:v>
                </c:pt>
                <c:pt idx="154">
                  <c:v>8862</c:v>
                </c:pt>
                <c:pt idx="155">
                  <c:v>3556</c:v>
                </c:pt>
                <c:pt idx="156">
                  <c:v>7280</c:v>
                </c:pt>
                <c:pt idx="157">
                  <c:v>3402</c:v>
                </c:pt>
                <c:pt idx="158">
                  <c:v>4592</c:v>
                </c:pt>
                <c:pt idx="159">
                  <c:v>7833</c:v>
                </c:pt>
                <c:pt idx="160">
                  <c:v>7651</c:v>
                </c:pt>
                <c:pt idx="161">
                  <c:v>2275</c:v>
                </c:pt>
                <c:pt idx="162">
                  <c:v>5670</c:v>
                </c:pt>
                <c:pt idx="163">
                  <c:v>2135</c:v>
                </c:pt>
                <c:pt idx="164">
                  <c:v>2779</c:v>
                </c:pt>
                <c:pt idx="165">
                  <c:v>12950</c:v>
                </c:pt>
                <c:pt idx="166">
                  <c:v>2646</c:v>
                </c:pt>
                <c:pt idx="167">
                  <c:v>3794</c:v>
                </c:pt>
                <c:pt idx="168">
                  <c:v>819</c:v>
                </c:pt>
                <c:pt idx="169">
                  <c:v>2583</c:v>
                </c:pt>
                <c:pt idx="170">
                  <c:v>4585</c:v>
                </c:pt>
                <c:pt idx="171">
                  <c:v>1652</c:v>
                </c:pt>
                <c:pt idx="172">
                  <c:v>4991</c:v>
                </c:pt>
                <c:pt idx="173">
                  <c:v>2009</c:v>
                </c:pt>
                <c:pt idx="174">
                  <c:v>1568</c:v>
                </c:pt>
                <c:pt idx="175">
                  <c:v>3388</c:v>
                </c:pt>
                <c:pt idx="176">
                  <c:v>623</c:v>
                </c:pt>
                <c:pt idx="177">
                  <c:v>10073</c:v>
                </c:pt>
                <c:pt idx="178">
                  <c:v>1561</c:v>
                </c:pt>
                <c:pt idx="179">
                  <c:v>11522</c:v>
                </c:pt>
                <c:pt idx="180">
                  <c:v>2317</c:v>
                </c:pt>
                <c:pt idx="181">
                  <c:v>3059</c:v>
                </c:pt>
                <c:pt idx="182">
                  <c:v>2324</c:v>
                </c:pt>
                <c:pt idx="183">
                  <c:v>4956</c:v>
                </c:pt>
                <c:pt idx="184">
                  <c:v>5355</c:v>
                </c:pt>
                <c:pt idx="185">
                  <c:v>7259</c:v>
                </c:pt>
                <c:pt idx="186">
                  <c:v>6279</c:v>
                </c:pt>
                <c:pt idx="187">
                  <c:v>2541</c:v>
                </c:pt>
                <c:pt idx="188">
                  <c:v>3864</c:v>
                </c:pt>
                <c:pt idx="189">
                  <c:v>6146</c:v>
                </c:pt>
                <c:pt idx="190">
                  <c:v>2639</c:v>
                </c:pt>
                <c:pt idx="191">
                  <c:v>1890</c:v>
                </c:pt>
                <c:pt idx="192">
                  <c:v>1932</c:v>
                </c:pt>
                <c:pt idx="193">
                  <c:v>6300</c:v>
                </c:pt>
                <c:pt idx="194">
                  <c:v>560</c:v>
                </c:pt>
                <c:pt idx="195">
                  <c:v>2856</c:v>
                </c:pt>
                <c:pt idx="196">
                  <c:v>707</c:v>
                </c:pt>
                <c:pt idx="197">
                  <c:v>3598</c:v>
                </c:pt>
                <c:pt idx="198">
                  <c:v>6853</c:v>
                </c:pt>
                <c:pt idx="199">
                  <c:v>4725</c:v>
                </c:pt>
                <c:pt idx="200">
                  <c:v>10304</c:v>
                </c:pt>
                <c:pt idx="201">
                  <c:v>1274</c:v>
                </c:pt>
                <c:pt idx="202">
                  <c:v>1526</c:v>
                </c:pt>
                <c:pt idx="203">
                  <c:v>3101</c:v>
                </c:pt>
                <c:pt idx="204">
                  <c:v>1057</c:v>
                </c:pt>
                <c:pt idx="205">
                  <c:v>5306</c:v>
                </c:pt>
                <c:pt idx="206">
                  <c:v>4018</c:v>
                </c:pt>
                <c:pt idx="207">
                  <c:v>938</c:v>
                </c:pt>
                <c:pt idx="208">
                  <c:v>1778</c:v>
                </c:pt>
                <c:pt idx="209">
                  <c:v>1638</c:v>
                </c:pt>
                <c:pt idx="210">
                  <c:v>154</c:v>
                </c:pt>
                <c:pt idx="211">
                  <c:v>9835</c:v>
                </c:pt>
                <c:pt idx="212">
                  <c:v>7273</c:v>
                </c:pt>
                <c:pt idx="213">
                  <c:v>6909</c:v>
                </c:pt>
                <c:pt idx="214">
                  <c:v>3920</c:v>
                </c:pt>
                <c:pt idx="215">
                  <c:v>4858</c:v>
                </c:pt>
                <c:pt idx="216">
                  <c:v>3549</c:v>
                </c:pt>
                <c:pt idx="217">
                  <c:v>966</c:v>
                </c:pt>
                <c:pt idx="218">
                  <c:v>385</c:v>
                </c:pt>
                <c:pt idx="219">
                  <c:v>2219</c:v>
                </c:pt>
                <c:pt idx="220">
                  <c:v>2954</c:v>
                </c:pt>
                <c:pt idx="221">
                  <c:v>280</c:v>
                </c:pt>
                <c:pt idx="222">
                  <c:v>6118</c:v>
                </c:pt>
                <c:pt idx="223">
                  <c:v>4802</c:v>
                </c:pt>
                <c:pt idx="224">
                  <c:v>4137</c:v>
                </c:pt>
                <c:pt idx="225">
                  <c:v>2023</c:v>
                </c:pt>
                <c:pt idx="226">
                  <c:v>9051</c:v>
                </c:pt>
                <c:pt idx="227">
                  <c:v>2919</c:v>
                </c:pt>
                <c:pt idx="228">
                  <c:v>5915</c:v>
                </c:pt>
                <c:pt idx="229">
                  <c:v>2562</c:v>
                </c:pt>
                <c:pt idx="230">
                  <c:v>8813</c:v>
                </c:pt>
                <c:pt idx="231">
                  <c:v>6111</c:v>
                </c:pt>
                <c:pt idx="232">
                  <c:v>3507</c:v>
                </c:pt>
                <c:pt idx="233">
                  <c:v>4319</c:v>
                </c:pt>
                <c:pt idx="234">
                  <c:v>609</c:v>
                </c:pt>
                <c:pt idx="235">
                  <c:v>6370</c:v>
                </c:pt>
                <c:pt idx="236">
                  <c:v>5474</c:v>
                </c:pt>
                <c:pt idx="237">
                  <c:v>3164</c:v>
                </c:pt>
                <c:pt idx="238">
                  <c:v>1302</c:v>
                </c:pt>
                <c:pt idx="239">
                  <c:v>7308</c:v>
                </c:pt>
                <c:pt idx="240">
                  <c:v>6132</c:v>
                </c:pt>
                <c:pt idx="241">
                  <c:v>3472</c:v>
                </c:pt>
                <c:pt idx="242">
                  <c:v>9660</c:v>
                </c:pt>
                <c:pt idx="243">
                  <c:v>2436</c:v>
                </c:pt>
                <c:pt idx="244">
                  <c:v>9506</c:v>
                </c:pt>
                <c:pt idx="245">
                  <c:v>245</c:v>
                </c:pt>
                <c:pt idx="246">
                  <c:v>2702</c:v>
                </c:pt>
                <c:pt idx="247">
                  <c:v>700</c:v>
                </c:pt>
                <c:pt idx="248">
                  <c:v>3759</c:v>
                </c:pt>
                <c:pt idx="249">
                  <c:v>1589</c:v>
                </c:pt>
                <c:pt idx="250">
                  <c:v>5194</c:v>
                </c:pt>
                <c:pt idx="251">
                  <c:v>945</c:v>
                </c:pt>
                <c:pt idx="252">
                  <c:v>1988</c:v>
                </c:pt>
                <c:pt idx="253">
                  <c:v>6734</c:v>
                </c:pt>
                <c:pt idx="254">
                  <c:v>217</c:v>
                </c:pt>
                <c:pt idx="255">
                  <c:v>6279</c:v>
                </c:pt>
                <c:pt idx="256">
                  <c:v>4424</c:v>
                </c:pt>
                <c:pt idx="257">
                  <c:v>189</c:v>
                </c:pt>
                <c:pt idx="258">
                  <c:v>490</c:v>
                </c:pt>
                <c:pt idx="259">
                  <c:v>434</c:v>
                </c:pt>
                <c:pt idx="260">
                  <c:v>10129</c:v>
                </c:pt>
                <c:pt idx="261">
                  <c:v>1652</c:v>
                </c:pt>
                <c:pt idx="262">
                  <c:v>6433</c:v>
                </c:pt>
                <c:pt idx="263">
                  <c:v>2212</c:v>
                </c:pt>
                <c:pt idx="264">
                  <c:v>609</c:v>
                </c:pt>
                <c:pt idx="265">
                  <c:v>1638</c:v>
                </c:pt>
                <c:pt idx="266">
                  <c:v>3829</c:v>
                </c:pt>
                <c:pt idx="267">
                  <c:v>5775</c:v>
                </c:pt>
                <c:pt idx="268">
                  <c:v>1071</c:v>
                </c:pt>
                <c:pt idx="269">
                  <c:v>5019</c:v>
                </c:pt>
                <c:pt idx="270">
                  <c:v>2863</c:v>
                </c:pt>
                <c:pt idx="271">
                  <c:v>1617</c:v>
                </c:pt>
                <c:pt idx="272">
                  <c:v>6818</c:v>
                </c:pt>
                <c:pt idx="273">
                  <c:v>6657</c:v>
                </c:pt>
                <c:pt idx="274">
                  <c:v>2919</c:v>
                </c:pt>
                <c:pt idx="275">
                  <c:v>3094</c:v>
                </c:pt>
                <c:pt idx="276">
                  <c:v>2989</c:v>
                </c:pt>
                <c:pt idx="277">
                  <c:v>2268</c:v>
                </c:pt>
                <c:pt idx="278">
                  <c:v>4753</c:v>
                </c:pt>
                <c:pt idx="279">
                  <c:v>7511</c:v>
                </c:pt>
                <c:pt idx="280">
                  <c:v>4326</c:v>
                </c:pt>
                <c:pt idx="281">
                  <c:v>4935</c:v>
                </c:pt>
                <c:pt idx="282">
                  <c:v>4781</c:v>
                </c:pt>
                <c:pt idx="283">
                  <c:v>7483</c:v>
                </c:pt>
                <c:pt idx="284">
                  <c:v>6860</c:v>
                </c:pt>
                <c:pt idx="285">
                  <c:v>9002</c:v>
                </c:pt>
                <c:pt idx="286">
                  <c:v>1400</c:v>
                </c:pt>
                <c:pt idx="287">
                  <c:v>4053</c:v>
                </c:pt>
                <c:pt idx="288">
                  <c:v>2149</c:v>
                </c:pt>
                <c:pt idx="289">
                  <c:v>3640</c:v>
                </c:pt>
                <c:pt idx="290">
                  <c:v>630</c:v>
                </c:pt>
                <c:pt idx="291">
                  <c:v>2429</c:v>
                </c:pt>
                <c:pt idx="292">
                  <c:v>2142</c:v>
                </c:pt>
                <c:pt idx="293">
                  <c:v>6454</c:v>
                </c:pt>
                <c:pt idx="294">
                  <c:v>4487</c:v>
                </c:pt>
                <c:pt idx="295">
                  <c:v>938</c:v>
                </c:pt>
                <c:pt idx="296">
                  <c:v>8841</c:v>
                </c:pt>
                <c:pt idx="297">
                  <c:v>4018</c:v>
                </c:pt>
                <c:pt idx="298">
                  <c:v>714</c:v>
                </c:pt>
                <c:pt idx="299">
                  <c:v>3850</c:v>
                </c:pt>
              </c:numCache>
            </c:numRef>
          </c:xVal>
          <c:yVal>
            <c:numRef>
              <c:f>'6'!$P$5:$P$304</c:f>
              <c:numCache>
                <c:formatCode>#,##0</c:formatCode>
                <c:ptCount val="300"/>
                <c:pt idx="0">
                  <c:v>114</c:v>
                </c:pt>
                <c:pt idx="1">
                  <c:v>459</c:v>
                </c:pt>
                <c:pt idx="2">
                  <c:v>147</c:v>
                </c:pt>
                <c:pt idx="3">
                  <c:v>288</c:v>
                </c:pt>
                <c:pt idx="4">
                  <c:v>414</c:v>
                </c:pt>
                <c:pt idx="5">
                  <c:v>432</c:v>
                </c:pt>
                <c:pt idx="6">
                  <c:v>54</c:v>
                </c:pt>
                <c:pt idx="7">
                  <c:v>210</c:v>
                </c:pt>
                <c:pt idx="8">
                  <c:v>75</c:v>
                </c:pt>
                <c:pt idx="9">
                  <c:v>12</c:v>
                </c:pt>
                <c:pt idx="10">
                  <c:v>462</c:v>
                </c:pt>
                <c:pt idx="11">
                  <c:v>144</c:v>
                </c:pt>
                <c:pt idx="12">
                  <c:v>120</c:v>
                </c:pt>
                <c:pt idx="13">
                  <c:v>54</c:v>
                </c:pt>
                <c:pt idx="14">
                  <c:v>234</c:v>
                </c:pt>
                <c:pt idx="15">
                  <c:v>66</c:v>
                </c:pt>
                <c:pt idx="16">
                  <c:v>87</c:v>
                </c:pt>
                <c:pt idx="17">
                  <c:v>339</c:v>
                </c:pt>
                <c:pt idx="18">
                  <c:v>144</c:v>
                </c:pt>
                <c:pt idx="19">
                  <c:v>162</c:v>
                </c:pt>
                <c:pt idx="20">
                  <c:v>90</c:v>
                </c:pt>
                <c:pt idx="21">
                  <c:v>234</c:v>
                </c:pt>
                <c:pt idx="22">
                  <c:v>141</c:v>
                </c:pt>
                <c:pt idx="23">
                  <c:v>204</c:v>
                </c:pt>
                <c:pt idx="24">
                  <c:v>186</c:v>
                </c:pt>
                <c:pt idx="25">
                  <c:v>231</c:v>
                </c:pt>
                <c:pt idx="26">
                  <c:v>168</c:v>
                </c:pt>
                <c:pt idx="27">
                  <c:v>195</c:v>
                </c:pt>
                <c:pt idx="28">
                  <c:v>15</c:v>
                </c:pt>
                <c:pt idx="29">
                  <c:v>30</c:v>
                </c:pt>
                <c:pt idx="30">
                  <c:v>102</c:v>
                </c:pt>
                <c:pt idx="31">
                  <c:v>15</c:v>
                </c:pt>
                <c:pt idx="32">
                  <c:v>183</c:v>
                </c:pt>
                <c:pt idx="33">
                  <c:v>12</c:v>
                </c:pt>
                <c:pt idx="34">
                  <c:v>72</c:v>
                </c:pt>
                <c:pt idx="35">
                  <c:v>282</c:v>
                </c:pt>
                <c:pt idx="36">
                  <c:v>144</c:v>
                </c:pt>
                <c:pt idx="37">
                  <c:v>405</c:v>
                </c:pt>
                <c:pt idx="38">
                  <c:v>75</c:v>
                </c:pt>
                <c:pt idx="39">
                  <c:v>135</c:v>
                </c:pt>
                <c:pt idx="40">
                  <c:v>21</c:v>
                </c:pt>
                <c:pt idx="41">
                  <c:v>153</c:v>
                </c:pt>
                <c:pt idx="42">
                  <c:v>15</c:v>
                </c:pt>
                <c:pt idx="43">
                  <c:v>255</c:v>
                </c:pt>
                <c:pt idx="44">
                  <c:v>18</c:v>
                </c:pt>
                <c:pt idx="45">
                  <c:v>189</c:v>
                </c:pt>
                <c:pt idx="46">
                  <c:v>21</c:v>
                </c:pt>
                <c:pt idx="47">
                  <c:v>36</c:v>
                </c:pt>
                <c:pt idx="48">
                  <c:v>75</c:v>
                </c:pt>
                <c:pt idx="49">
                  <c:v>156</c:v>
                </c:pt>
                <c:pt idx="50">
                  <c:v>39</c:v>
                </c:pt>
                <c:pt idx="51">
                  <c:v>63</c:v>
                </c:pt>
                <c:pt idx="52">
                  <c:v>75</c:v>
                </c:pt>
                <c:pt idx="53">
                  <c:v>183</c:v>
                </c:pt>
                <c:pt idx="54">
                  <c:v>69</c:v>
                </c:pt>
                <c:pt idx="55">
                  <c:v>30</c:v>
                </c:pt>
                <c:pt idx="56">
                  <c:v>39</c:v>
                </c:pt>
                <c:pt idx="57">
                  <c:v>504</c:v>
                </c:pt>
                <c:pt idx="58">
                  <c:v>273</c:v>
                </c:pt>
                <c:pt idx="59">
                  <c:v>48</c:v>
                </c:pt>
                <c:pt idx="60">
                  <c:v>207</c:v>
                </c:pt>
                <c:pt idx="61">
                  <c:v>9</c:v>
                </c:pt>
                <c:pt idx="62">
                  <c:v>261</c:v>
                </c:pt>
                <c:pt idx="63">
                  <c:v>6</c:v>
                </c:pt>
                <c:pt idx="64">
                  <c:v>30</c:v>
                </c:pt>
                <c:pt idx="65">
                  <c:v>138</c:v>
                </c:pt>
                <c:pt idx="66">
                  <c:v>111</c:v>
                </c:pt>
                <c:pt idx="67">
                  <c:v>15</c:v>
                </c:pt>
                <c:pt idx="68">
                  <c:v>162</c:v>
                </c:pt>
                <c:pt idx="69">
                  <c:v>195</c:v>
                </c:pt>
                <c:pt idx="70">
                  <c:v>525</c:v>
                </c:pt>
                <c:pt idx="71">
                  <c:v>48</c:v>
                </c:pt>
                <c:pt idx="72">
                  <c:v>150</c:v>
                </c:pt>
                <c:pt idx="73">
                  <c:v>492</c:v>
                </c:pt>
                <c:pt idx="74">
                  <c:v>102</c:v>
                </c:pt>
                <c:pt idx="75">
                  <c:v>165</c:v>
                </c:pt>
                <c:pt idx="76">
                  <c:v>309</c:v>
                </c:pt>
                <c:pt idx="77">
                  <c:v>156</c:v>
                </c:pt>
                <c:pt idx="78">
                  <c:v>159</c:v>
                </c:pt>
                <c:pt idx="79">
                  <c:v>201</c:v>
                </c:pt>
                <c:pt idx="80">
                  <c:v>210</c:v>
                </c:pt>
                <c:pt idx="81">
                  <c:v>51</c:v>
                </c:pt>
                <c:pt idx="82">
                  <c:v>39</c:v>
                </c:pt>
                <c:pt idx="83">
                  <c:v>279</c:v>
                </c:pt>
                <c:pt idx="84">
                  <c:v>123</c:v>
                </c:pt>
                <c:pt idx="85">
                  <c:v>81</c:v>
                </c:pt>
                <c:pt idx="86">
                  <c:v>21</c:v>
                </c:pt>
                <c:pt idx="87">
                  <c:v>162</c:v>
                </c:pt>
                <c:pt idx="88">
                  <c:v>228</c:v>
                </c:pt>
                <c:pt idx="89">
                  <c:v>342</c:v>
                </c:pt>
                <c:pt idx="90">
                  <c:v>54</c:v>
                </c:pt>
                <c:pt idx="91">
                  <c:v>216</c:v>
                </c:pt>
                <c:pt idx="92">
                  <c:v>54</c:v>
                </c:pt>
                <c:pt idx="93">
                  <c:v>75</c:v>
                </c:pt>
                <c:pt idx="94">
                  <c:v>93</c:v>
                </c:pt>
                <c:pt idx="95">
                  <c:v>156</c:v>
                </c:pt>
                <c:pt idx="96">
                  <c:v>9</c:v>
                </c:pt>
                <c:pt idx="97">
                  <c:v>18</c:v>
                </c:pt>
                <c:pt idx="98">
                  <c:v>234</c:v>
                </c:pt>
                <c:pt idx="99">
                  <c:v>312</c:v>
                </c:pt>
                <c:pt idx="100">
                  <c:v>300</c:v>
                </c:pt>
                <c:pt idx="101">
                  <c:v>519</c:v>
                </c:pt>
                <c:pt idx="102">
                  <c:v>9</c:v>
                </c:pt>
                <c:pt idx="103">
                  <c:v>9</c:v>
                </c:pt>
                <c:pt idx="104">
                  <c:v>90</c:v>
                </c:pt>
                <c:pt idx="105">
                  <c:v>96</c:v>
                </c:pt>
                <c:pt idx="106">
                  <c:v>21</c:v>
                </c:pt>
                <c:pt idx="107">
                  <c:v>48</c:v>
                </c:pt>
                <c:pt idx="108">
                  <c:v>72</c:v>
                </c:pt>
                <c:pt idx="109">
                  <c:v>168</c:v>
                </c:pt>
                <c:pt idx="110">
                  <c:v>51</c:v>
                </c:pt>
                <c:pt idx="111">
                  <c:v>192</c:v>
                </c:pt>
                <c:pt idx="112">
                  <c:v>225</c:v>
                </c:pt>
                <c:pt idx="113">
                  <c:v>456</c:v>
                </c:pt>
                <c:pt idx="114">
                  <c:v>93</c:v>
                </c:pt>
                <c:pt idx="115">
                  <c:v>48</c:v>
                </c:pt>
                <c:pt idx="116">
                  <c:v>102</c:v>
                </c:pt>
                <c:pt idx="117">
                  <c:v>252</c:v>
                </c:pt>
                <c:pt idx="118">
                  <c:v>138</c:v>
                </c:pt>
                <c:pt idx="119">
                  <c:v>90</c:v>
                </c:pt>
                <c:pt idx="120">
                  <c:v>240</c:v>
                </c:pt>
                <c:pt idx="121">
                  <c:v>102</c:v>
                </c:pt>
                <c:pt idx="122">
                  <c:v>129</c:v>
                </c:pt>
                <c:pt idx="123">
                  <c:v>300</c:v>
                </c:pt>
                <c:pt idx="124">
                  <c:v>135</c:v>
                </c:pt>
                <c:pt idx="125">
                  <c:v>114</c:v>
                </c:pt>
                <c:pt idx="126">
                  <c:v>63</c:v>
                </c:pt>
                <c:pt idx="127">
                  <c:v>252</c:v>
                </c:pt>
                <c:pt idx="128">
                  <c:v>303</c:v>
                </c:pt>
                <c:pt idx="129">
                  <c:v>246</c:v>
                </c:pt>
                <c:pt idx="130">
                  <c:v>84</c:v>
                </c:pt>
                <c:pt idx="131">
                  <c:v>39</c:v>
                </c:pt>
                <c:pt idx="132">
                  <c:v>348</c:v>
                </c:pt>
                <c:pt idx="133">
                  <c:v>48</c:v>
                </c:pt>
                <c:pt idx="134">
                  <c:v>75</c:v>
                </c:pt>
                <c:pt idx="135">
                  <c:v>258</c:v>
                </c:pt>
                <c:pt idx="136">
                  <c:v>27</c:v>
                </c:pt>
                <c:pt idx="137">
                  <c:v>213</c:v>
                </c:pt>
                <c:pt idx="138">
                  <c:v>357</c:v>
                </c:pt>
                <c:pt idx="139">
                  <c:v>207</c:v>
                </c:pt>
                <c:pt idx="140">
                  <c:v>150</c:v>
                </c:pt>
                <c:pt idx="141">
                  <c:v>204</c:v>
                </c:pt>
                <c:pt idx="142">
                  <c:v>21</c:v>
                </c:pt>
                <c:pt idx="143">
                  <c:v>174</c:v>
                </c:pt>
                <c:pt idx="144">
                  <c:v>201</c:v>
                </c:pt>
                <c:pt idx="145">
                  <c:v>510</c:v>
                </c:pt>
                <c:pt idx="146">
                  <c:v>378</c:v>
                </c:pt>
                <c:pt idx="147">
                  <c:v>27</c:v>
                </c:pt>
                <c:pt idx="148">
                  <c:v>117</c:v>
                </c:pt>
                <c:pt idx="149">
                  <c:v>36</c:v>
                </c:pt>
                <c:pt idx="150">
                  <c:v>126</c:v>
                </c:pt>
                <c:pt idx="151">
                  <c:v>72</c:v>
                </c:pt>
                <c:pt idx="152">
                  <c:v>42</c:v>
                </c:pt>
                <c:pt idx="153">
                  <c:v>135</c:v>
                </c:pt>
                <c:pt idx="154">
                  <c:v>189</c:v>
                </c:pt>
                <c:pt idx="155">
                  <c:v>459</c:v>
                </c:pt>
                <c:pt idx="156">
                  <c:v>201</c:v>
                </c:pt>
                <c:pt idx="157">
                  <c:v>366</c:v>
                </c:pt>
                <c:pt idx="158">
                  <c:v>324</c:v>
                </c:pt>
                <c:pt idx="159">
                  <c:v>243</c:v>
                </c:pt>
                <c:pt idx="160">
                  <c:v>213</c:v>
                </c:pt>
                <c:pt idx="161">
                  <c:v>447</c:v>
                </c:pt>
                <c:pt idx="162">
                  <c:v>297</c:v>
                </c:pt>
                <c:pt idx="163">
                  <c:v>27</c:v>
                </c:pt>
                <c:pt idx="164">
                  <c:v>75</c:v>
                </c:pt>
                <c:pt idx="165">
                  <c:v>30</c:v>
                </c:pt>
                <c:pt idx="166">
                  <c:v>177</c:v>
                </c:pt>
                <c:pt idx="167">
                  <c:v>159</c:v>
                </c:pt>
                <c:pt idx="168">
                  <c:v>306</c:v>
                </c:pt>
                <c:pt idx="169">
                  <c:v>18</c:v>
                </c:pt>
                <c:pt idx="170">
                  <c:v>240</c:v>
                </c:pt>
                <c:pt idx="171">
                  <c:v>93</c:v>
                </c:pt>
                <c:pt idx="172">
                  <c:v>9</c:v>
                </c:pt>
                <c:pt idx="173">
                  <c:v>219</c:v>
                </c:pt>
                <c:pt idx="174">
                  <c:v>141</c:v>
                </c:pt>
                <c:pt idx="175">
                  <c:v>123</c:v>
                </c:pt>
                <c:pt idx="176">
                  <c:v>51</c:v>
                </c:pt>
                <c:pt idx="177">
                  <c:v>120</c:v>
                </c:pt>
                <c:pt idx="178">
                  <c:v>27</c:v>
                </c:pt>
                <c:pt idx="179">
                  <c:v>204</c:v>
                </c:pt>
                <c:pt idx="180">
                  <c:v>123</c:v>
                </c:pt>
                <c:pt idx="181">
                  <c:v>27</c:v>
                </c:pt>
                <c:pt idx="182">
                  <c:v>177</c:v>
                </c:pt>
                <c:pt idx="183">
                  <c:v>171</c:v>
                </c:pt>
                <c:pt idx="184">
                  <c:v>204</c:v>
                </c:pt>
                <c:pt idx="185">
                  <c:v>276</c:v>
                </c:pt>
                <c:pt idx="186">
                  <c:v>45</c:v>
                </c:pt>
                <c:pt idx="187">
                  <c:v>45</c:v>
                </c:pt>
                <c:pt idx="188">
                  <c:v>177</c:v>
                </c:pt>
                <c:pt idx="189">
                  <c:v>63</c:v>
                </c:pt>
                <c:pt idx="190">
                  <c:v>204</c:v>
                </c:pt>
                <c:pt idx="191">
                  <c:v>195</c:v>
                </c:pt>
                <c:pt idx="192">
                  <c:v>369</c:v>
                </c:pt>
                <c:pt idx="193">
                  <c:v>42</c:v>
                </c:pt>
                <c:pt idx="194">
                  <c:v>81</c:v>
                </c:pt>
                <c:pt idx="195">
                  <c:v>246</c:v>
                </c:pt>
                <c:pt idx="196">
                  <c:v>174</c:v>
                </c:pt>
                <c:pt idx="197">
                  <c:v>81</c:v>
                </c:pt>
                <c:pt idx="198">
                  <c:v>372</c:v>
                </c:pt>
                <c:pt idx="199">
                  <c:v>174</c:v>
                </c:pt>
                <c:pt idx="200">
                  <c:v>84</c:v>
                </c:pt>
                <c:pt idx="201">
                  <c:v>225</c:v>
                </c:pt>
                <c:pt idx="202">
                  <c:v>105</c:v>
                </c:pt>
                <c:pt idx="203">
                  <c:v>225</c:v>
                </c:pt>
                <c:pt idx="204">
                  <c:v>54</c:v>
                </c:pt>
                <c:pt idx="205">
                  <c:v>0</c:v>
                </c:pt>
                <c:pt idx="206">
                  <c:v>171</c:v>
                </c:pt>
                <c:pt idx="207">
                  <c:v>189</c:v>
                </c:pt>
                <c:pt idx="208">
                  <c:v>270</c:v>
                </c:pt>
                <c:pt idx="209">
                  <c:v>63</c:v>
                </c:pt>
                <c:pt idx="210">
                  <c:v>21</c:v>
                </c:pt>
                <c:pt idx="211">
                  <c:v>207</c:v>
                </c:pt>
                <c:pt idx="212">
                  <c:v>96</c:v>
                </c:pt>
                <c:pt idx="213">
                  <c:v>81</c:v>
                </c:pt>
                <c:pt idx="214">
                  <c:v>306</c:v>
                </c:pt>
                <c:pt idx="215">
                  <c:v>279</c:v>
                </c:pt>
                <c:pt idx="216">
                  <c:v>3</c:v>
                </c:pt>
                <c:pt idx="217">
                  <c:v>198</c:v>
                </c:pt>
                <c:pt idx="218">
                  <c:v>249</c:v>
                </c:pt>
                <c:pt idx="219">
                  <c:v>75</c:v>
                </c:pt>
                <c:pt idx="220">
                  <c:v>189</c:v>
                </c:pt>
                <c:pt idx="221">
                  <c:v>87</c:v>
                </c:pt>
                <c:pt idx="222">
                  <c:v>174</c:v>
                </c:pt>
                <c:pt idx="223">
                  <c:v>36</c:v>
                </c:pt>
                <c:pt idx="224">
                  <c:v>60</c:v>
                </c:pt>
                <c:pt idx="225">
                  <c:v>78</c:v>
                </c:pt>
                <c:pt idx="226">
                  <c:v>57</c:v>
                </c:pt>
                <c:pt idx="227">
                  <c:v>45</c:v>
                </c:pt>
                <c:pt idx="228">
                  <c:v>3</c:v>
                </c:pt>
                <c:pt idx="229">
                  <c:v>6</c:v>
                </c:pt>
                <c:pt idx="230">
                  <c:v>21</c:v>
                </c:pt>
                <c:pt idx="231">
                  <c:v>3</c:v>
                </c:pt>
                <c:pt idx="232">
                  <c:v>288</c:v>
                </c:pt>
                <c:pt idx="233">
                  <c:v>30</c:v>
                </c:pt>
                <c:pt idx="234">
                  <c:v>87</c:v>
                </c:pt>
                <c:pt idx="235">
                  <c:v>30</c:v>
                </c:pt>
                <c:pt idx="236">
                  <c:v>168</c:v>
                </c:pt>
                <c:pt idx="237">
                  <c:v>306</c:v>
                </c:pt>
                <c:pt idx="238">
                  <c:v>402</c:v>
                </c:pt>
                <c:pt idx="239">
                  <c:v>327</c:v>
                </c:pt>
                <c:pt idx="240">
                  <c:v>93</c:v>
                </c:pt>
                <c:pt idx="241">
                  <c:v>96</c:v>
                </c:pt>
                <c:pt idx="242">
                  <c:v>27</c:v>
                </c:pt>
                <c:pt idx="243">
                  <c:v>99</c:v>
                </c:pt>
                <c:pt idx="244">
                  <c:v>87</c:v>
                </c:pt>
                <c:pt idx="245">
                  <c:v>288</c:v>
                </c:pt>
                <c:pt idx="246">
                  <c:v>363</c:v>
                </c:pt>
                <c:pt idx="247">
                  <c:v>87</c:v>
                </c:pt>
                <c:pt idx="248">
                  <c:v>150</c:v>
                </c:pt>
                <c:pt idx="249">
                  <c:v>303</c:v>
                </c:pt>
                <c:pt idx="250">
                  <c:v>288</c:v>
                </c:pt>
                <c:pt idx="251">
                  <c:v>75</c:v>
                </c:pt>
                <c:pt idx="252">
                  <c:v>39</c:v>
                </c:pt>
                <c:pt idx="253">
                  <c:v>123</c:v>
                </c:pt>
                <c:pt idx="254">
                  <c:v>36</c:v>
                </c:pt>
                <c:pt idx="255">
                  <c:v>237</c:v>
                </c:pt>
                <c:pt idx="256">
                  <c:v>201</c:v>
                </c:pt>
                <c:pt idx="257">
                  <c:v>48</c:v>
                </c:pt>
                <c:pt idx="258">
                  <c:v>84</c:v>
                </c:pt>
                <c:pt idx="259">
                  <c:v>87</c:v>
                </c:pt>
                <c:pt idx="260">
                  <c:v>312</c:v>
                </c:pt>
                <c:pt idx="261">
                  <c:v>102</c:v>
                </c:pt>
                <c:pt idx="262">
                  <c:v>78</c:v>
                </c:pt>
                <c:pt idx="263">
                  <c:v>117</c:v>
                </c:pt>
                <c:pt idx="264">
                  <c:v>99</c:v>
                </c:pt>
                <c:pt idx="265">
                  <c:v>48</c:v>
                </c:pt>
                <c:pt idx="266">
                  <c:v>24</c:v>
                </c:pt>
                <c:pt idx="267">
                  <c:v>42</c:v>
                </c:pt>
                <c:pt idx="268">
                  <c:v>270</c:v>
                </c:pt>
                <c:pt idx="269">
                  <c:v>150</c:v>
                </c:pt>
                <c:pt idx="270">
                  <c:v>42</c:v>
                </c:pt>
                <c:pt idx="271">
                  <c:v>126</c:v>
                </c:pt>
                <c:pt idx="272">
                  <c:v>6</c:v>
                </c:pt>
                <c:pt idx="273">
                  <c:v>276</c:v>
                </c:pt>
                <c:pt idx="274">
                  <c:v>93</c:v>
                </c:pt>
                <c:pt idx="275">
                  <c:v>246</c:v>
                </c:pt>
                <c:pt idx="276">
                  <c:v>3</c:v>
                </c:pt>
                <c:pt idx="277">
                  <c:v>63</c:v>
                </c:pt>
                <c:pt idx="278">
                  <c:v>246</c:v>
                </c:pt>
                <c:pt idx="279">
                  <c:v>120</c:v>
                </c:pt>
                <c:pt idx="280">
                  <c:v>348</c:v>
                </c:pt>
                <c:pt idx="281">
                  <c:v>126</c:v>
                </c:pt>
                <c:pt idx="282">
                  <c:v>123</c:v>
                </c:pt>
                <c:pt idx="283">
                  <c:v>45</c:v>
                </c:pt>
                <c:pt idx="284">
                  <c:v>126</c:v>
                </c:pt>
                <c:pt idx="285">
                  <c:v>72</c:v>
                </c:pt>
                <c:pt idx="286">
                  <c:v>135</c:v>
                </c:pt>
                <c:pt idx="287">
                  <c:v>24</c:v>
                </c:pt>
                <c:pt idx="288">
                  <c:v>117</c:v>
                </c:pt>
                <c:pt idx="289">
                  <c:v>51</c:v>
                </c:pt>
                <c:pt idx="290">
                  <c:v>36</c:v>
                </c:pt>
                <c:pt idx="291">
                  <c:v>144</c:v>
                </c:pt>
                <c:pt idx="292">
                  <c:v>114</c:v>
                </c:pt>
                <c:pt idx="293">
                  <c:v>54</c:v>
                </c:pt>
                <c:pt idx="294">
                  <c:v>333</c:v>
                </c:pt>
                <c:pt idx="295">
                  <c:v>366</c:v>
                </c:pt>
                <c:pt idx="296">
                  <c:v>303</c:v>
                </c:pt>
                <c:pt idx="297">
                  <c:v>126</c:v>
                </c:pt>
                <c:pt idx="298">
                  <c:v>231</c:v>
                </c:pt>
                <c:pt idx="299">
                  <c:v>102</c:v>
                </c:pt>
              </c:numCache>
            </c:numRef>
          </c:yVal>
          <c:smooth val="0"/>
          <c:extLst>
            <c:ext xmlns:c16="http://schemas.microsoft.com/office/drawing/2014/chart" uri="{C3380CC4-5D6E-409C-BE32-E72D297353CC}">
              <c16:uniqueId val="{00000000-9D08-47C3-9CF6-7DE7E35390D4}"/>
            </c:ext>
          </c:extLst>
        </c:ser>
        <c:dLbls>
          <c:showLegendKey val="0"/>
          <c:showVal val="0"/>
          <c:showCatName val="0"/>
          <c:showSerName val="0"/>
          <c:showPercent val="0"/>
          <c:showBubbleSize val="0"/>
        </c:dLbls>
        <c:axId val="1907818752"/>
        <c:axId val="1737581040"/>
      </c:scatterChart>
      <c:valAx>
        <c:axId val="1907818752"/>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581040"/>
        <c:crosses val="autoZero"/>
        <c:crossBetween val="midCat"/>
      </c:valAx>
      <c:valAx>
        <c:axId val="1737581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8187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Distribution of Sales by Country</a:t>
            </a:r>
            <a:endParaRPr lang="en-IN" sz="1400">
              <a:effectLst/>
            </a:endParaRPr>
          </a:p>
        </cx:rich>
      </cx:tx>
    </cx:title>
    <cx:plotArea>
      <cx:plotAreaRegion>
        <cx:series layoutId="boxWhisker" uniqueId="{00000000-F6B6-4222-B9BB-7222D38A5CAF}">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132755</xdr:colOff>
      <xdr:row>1</xdr:row>
      <xdr:rowOff>94655</xdr:rowOff>
    </xdr:from>
    <xdr:to>
      <xdr:col>2</xdr:col>
      <xdr:colOff>1143000</xdr:colOff>
      <xdr:row>8</xdr:row>
      <xdr:rowOff>19050</xdr:rowOff>
    </xdr:to>
    <xdr:pic>
      <xdr:nvPicPr>
        <xdr:cNvPr id="6" name="Picture 5">
          <a:extLst>
            <a:ext uri="{FF2B5EF4-FFF2-40B4-BE49-F238E27FC236}">
              <a16:creationId xmlns:a16="http://schemas.microsoft.com/office/drawing/2014/main" id="{04780D01-C3AC-411C-83E5-5E867BDB888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9990" t="19990" r="19990" b="19990"/>
        <a:stretch/>
      </xdr:blipFill>
      <xdr:spPr>
        <a:xfrm>
          <a:off x="247055" y="761405"/>
          <a:ext cx="1257895" cy="1257895"/>
        </a:xfrm>
        <a:prstGeom prst="ellipse">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594360</xdr:colOff>
      <xdr:row>2</xdr:row>
      <xdr:rowOff>91441</xdr:rowOff>
    </xdr:from>
    <xdr:to>
      <xdr:col>10</xdr:col>
      <xdr:colOff>541020</xdr:colOff>
      <xdr:row>9</xdr:row>
      <xdr:rowOff>45721</xdr:rowOff>
    </xdr:to>
    <mc:AlternateContent xmlns:mc="http://schemas.openxmlformats.org/markup-compatibility/2006" xmlns:a14="http://schemas.microsoft.com/office/drawing/2010/main">
      <mc:Choice Requires="a14">
        <xdr:graphicFrame macro="">
          <xdr:nvGraphicFramePr>
            <xdr:cNvPr id="4" name="Sales Person 1">
              <a:extLst>
                <a:ext uri="{FF2B5EF4-FFF2-40B4-BE49-F238E27FC236}">
                  <a16:creationId xmlns:a16="http://schemas.microsoft.com/office/drawing/2014/main" id="{A81458AF-5D6D-5A3E-A0A5-9F665D4A22F5}"/>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3924300" y="601981"/>
              <a:ext cx="299466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598170</xdr:colOff>
      <xdr:row>19</xdr:row>
      <xdr:rowOff>91440</xdr:rowOff>
    </xdr:from>
    <xdr:to>
      <xdr:col>9</xdr:col>
      <xdr:colOff>350520</xdr:colOff>
      <xdr:row>34</xdr:row>
      <xdr:rowOff>91440</xdr:rowOff>
    </xdr:to>
    <xdr:graphicFrame macro="">
      <xdr:nvGraphicFramePr>
        <xdr:cNvPr id="4" name="Chart 3">
          <a:extLst>
            <a:ext uri="{FF2B5EF4-FFF2-40B4-BE49-F238E27FC236}">
              <a16:creationId xmlns:a16="http://schemas.microsoft.com/office/drawing/2014/main" id="{634261DB-E53B-2AC0-9151-4FB26D6F47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579120</xdr:colOff>
      <xdr:row>2</xdr:row>
      <xdr:rowOff>114300</xdr:rowOff>
    </xdr:from>
    <xdr:to>
      <xdr:col>9</xdr:col>
      <xdr:colOff>297180</xdr:colOff>
      <xdr:row>18</xdr:row>
      <xdr:rowOff>129540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C26ADAD5-5224-393A-82A5-F28D3D7275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79120" y="693420"/>
              <a:ext cx="5204460" cy="29413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38100</xdr:colOff>
      <xdr:row>3</xdr:row>
      <xdr:rowOff>45721</xdr:rowOff>
    </xdr:from>
    <xdr:to>
      <xdr:col>5</xdr:col>
      <xdr:colOff>297180</xdr:colOff>
      <xdr:row>7</xdr:row>
      <xdr:rowOff>137161</xdr:rowOff>
    </xdr:to>
    <mc:AlternateContent xmlns:mc="http://schemas.openxmlformats.org/markup-compatibility/2006">
      <mc:Choice xmlns:a14="http://schemas.microsoft.com/office/drawing/2010/main" Requires="a14">
        <xdr:graphicFrame macro="">
          <xdr:nvGraphicFramePr>
            <xdr:cNvPr id="2" name="Geography">
              <a:extLst>
                <a:ext uri="{FF2B5EF4-FFF2-40B4-BE49-F238E27FC236}">
                  <a16:creationId xmlns:a16="http://schemas.microsoft.com/office/drawing/2014/main" id="{84A1023B-0BC4-8DD2-54EC-95687248F2C4}"/>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3436620" y="87630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22860</xdr:colOff>
      <xdr:row>2</xdr:row>
      <xdr:rowOff>7620</xdr:rowOff>
    </xdr:from>
    <xdr:to>
      <xdr:col>9</xdr:col>
      <xdr:colOff>22860</xdr:colOff>
      <xdr:row>11</xdr:row>
      <xdr:rowOff>182880</xdr:rowOff>
    </xdr:to>
    <mc:AlternateContent xmlns:mc="http://schemas.openxmlformats.org/markup-compatibility/2006">
      <mc:Choice xmlns:a14="http://schemas.microsoft.com/office/drawing/2010/main" Requires="a14">
        <xdr:graphicFrame macro="">
          <xdr:nvGraphicFramePr>
            <xdr:cNvPr id="2" name="Geography 1">
              <a:extLst>
                <a:ext uri="{FF2B5EF4-FFF2-40B4-BE49-F238E27FC236}">
                  <a16:creationId xmlns:a16="http://schemas.microsoft.com/office/drawing/2014/main" id="{B29E15E0-0A6F-C3B8-D8C9-EBAA03E58F78}"/>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dr:sp macro="" textlink="">
          <xdr:nvSpPr>
            <xdr:cNvPr id="0" name=""/>
            <xdr:cNvSpPr>
              <a:spLocks noTextEdit="1"/>
            </xdr:cNvSpPr>
          </xdr:nvSpPr>
          <xdr:spPr>
            <a:xfrm>
              <a:off x="5623560" y="518160"/>
              <a:ext cx="1828800" cy="1958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DDE RISHANTH" refreshedDate="46298.903598379628" backgroundQuery="1" createdVersion="8" refreshedVersion="8" minRefreshableVersion="3" recordCount="0" supportSubquery="1" supportAdvancedDrill="1" xr:uid="{B97FDB79-DFC8-4C9D-8699-ADF98281DE5B}">
  <cacheSource type="external" connectionId="1"/>
  <cacheFields count="5">
    <cacheField name="[Data].[Geography].[Geography]" caption="Geography" numFmtId="0" hierarchy="1" level="1">
      <sharedItems count="6">
        <s v="Australia"/>
        <s v="Canada"/>
        <s v="India"/>
        <s v="New Zealand"/>
        <s v="UK"/>
        <s v="USA"/>
      </sharedItems>
    </cacheField>
    <cacheField name="[Measures].[Sum of Amount]" caption="Sum of Amount" numFmtId="0" hierarchy="7" level="32767"/>
    <cacheField name="[Measures].[Sum of Units]" caption="Sum of Units" numFmtId="0" hierarchy="8" level="32767"/>
    <cacheField name="[Data].[Sales Person].[Sales Person]" caption="Sales Person" numFmtId="0" level="1">
      <sharedItems containsSemiMixedTypes="0" containsNonDate="0" containsString="0"/>
    </cacheField>
    <cacheField name="Unsupported0" numFmtId="0" hierarchy="15" level="32767">
      <extLst>
        <ext xmlns:x14="http://schemas.microsoft.com/office/spreadsheetml/2009/9/main" uri="{63CAB8AC-B538-458d-9737-405883B0398D}">
          <x14:cacheField ignore="1"/>
        </ext>
      </extLst>
    </cacheField>
  </cacheFields>
  <cacheHierarchies count="16">
    <cacheHierarchy uniqueName="[Data].[Sales Person]" caption="Sales Person" attribute="1" defaultMemberUniqueName="[Data].[Sales Person].[All]" allUniqueName="[Data].[Sales Person].[All]" dimensionUniqueName="[Data]" displayFolder="" count="2" memberValueDatatype="130" unbalanced="0">
      <fieldsUsage count="2">
        <fieldUsage x="-1"/>
        <fieldUsage x="3"/>
      </fieldsUsage>
    </cacheHierarchy>
    <cacheHierarchy uniqueName="[Data].[Geography]" caption="Geography" attribute="1" defaultMemberUniqueName="[Data].[Geography].[All]" allUniqueName="[Data].[Geography].[All]" dimensionUniqueName="[Data]" displayFolder="" count="2" memberValueDatatype="130" unbalanced="0">
      <fieldsUsage count="2">
        <fieldUsage x="-1"/>
        <fieldUsage x="0"/>
      </fieldsUsage>
    </cacheHierarchy>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oneField="1">
      <fieldsUsage count="1">
        <fieldUsage x="1"/>
      </fieldsUsage>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oneField="1">
      <fieldsUsage count="1">
        <fieldUsage x="2"/>
      </fieldsUsage>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 caption="Total Profit " measure="1" displayFolder="" measureGroup="Data" count="0"/>
    <cacheHierarchy uniqueName="[Measures].[ Profit %]" caption=" Profit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Unsupported0" caption="Sales Person" measure="1" count="0">
      <extLst>
        <ext xmlns:x14="http://schemas.microsoft.com/office/spreadsheetml/2009/9/main" uri="{8CF416AD-EC4C-4aba-99F5-12A058AE0983}">
          <x14:cacheHierarchy ignore="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DDE RISHANTH" refreshedDate="46298.903592708331" backgroundQuery="1" createdVersion="8" refreshedVersion="8" minRefreshableVersion="3" recordCount="0" supportSubquery="1" supportAdvancedDrill="1" xr:uid="{8AF953D3-4125-4452-A54C-8109B0E8610F}">
  <cacheSource type="external" connectionId="1"/>
  <cacheFields count="2">
    <cacheField name="[Data].[Product].[Product]" caption="Product" numFmtId="0" hierarchy="2" level="1">
      <sharedItems count="5">
        <s v="85% Dark Bars"/>
        <s v="After Nines"/>
        <s v="Baker's Choco Chips"/>
        <s v="Peanut Butter Cubes"/>
        <s v="Raspberry Choco"/>
      </sharedItems>
    </cacheField>
    <cacheField name="[Measures].[Sales per Unit]" caption="Sales per Unit" numFmtId="0" hierarchy="10" level="32767"/>
  </cacheFields>
  <cacheHierarchies count="15">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oneField="1">
      <fieldsUsage count="1">
        <fieldUsage x="1"/>
      </fieldsUsage>
    </cacheHierarchy>
    <cacheHierarchy uniqueName="[Measures].[Total Profit ]" caption="Total Profit " measure="1" displayFolder="" measureGroup="Data" count="0"/>
    <cacheHierarchy uniqueName="[Measures].[ Profit %]" caption=" Profit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DDE RISHANTH" refreshedDate="46298.903591203707" backgroundQuery="1" createdVersion="8" refreshedVersion="8" minRefreshableVersion="3" recordCount="0" supportSubquery="1" supportAdvancedDrill="1" xr:uid="{79B31983-DB3E-4204-81B8-39641F93CF24}">
  <cacheSource type="external" connectionId="1"/>
  <cacheFields count="3">
    <cacheField name="[Data].[Geography].[Geography]" caption="Geography" numFmtId="0" hierarchy="1" level="1">
      <sharedItems count="6">
        <s v="Australia"/>
        <s v="Canada"/>
        <s v="India"/>
        <s v="New Zealand"/>
        <s v="UK"/>
        <s v="USA"/>
      </sharedItems>
    </cacheField>
    <cacheField name="[Data].[Sales Person].[Sales Person]" caption="Sales Person" numFmtId="0" level="1">
      <sharedItems count="4">
        <s v="Carla Molina"/>
        <s v="Brien Boise"/>
        <s v="Oby Sorrel"/>
        <s v="Barr Faughny"/>
      </sharedItems>
    </cacheField>
    <cacheField name="[Measures].[Sum of Amount]" caption="Sum of Amount" numFmtId="0" hierarchy="7" level="32767"/>
  </cacheFields>
  <cacheHierarchies count="15">
    <cacheHierarchy uniqueName="[Data].[Sales Person]" caption="Sales Person" attribute="1" defaultMemberUniqueName="[Data].[Sales Person].[All]" allUniqueName="[Data].[Sales Person].[All]" dimensionUniqueName="[Data]" displayFolder="" count="2" memberValueDatatype="130" unbalanced="0">
      <fieldsUsage count="2">
        <fieldUsage x="-1"/>
        <fieldUsage x="1"/>
      </fieldsUsage>
    </cacheHierarchy>
    <cacheHierarchy uniqueName="[Data].[Geography]" caption="Geography" attribute="1" defaultMemberUniqueName="[Data].[Geography].[All]" allUniqueName="[Data].[Geography].[All]" dimensionUniqueName="[Data]" displayFolder="" count="2" memberValueDatatype="130" unbalanced="0">
      <fieldsUsage count="2">
        <fieldUsage x="-1"/>
        <fieldUsage x="0"/>
      </fieldsUsage>
    </cacheHierarchy>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oneField="1">
      <fieldsUsage count="1">
        <fieldUsage x="2"/>
      </fieldsUsage>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 caption="Total Profit " measure="1" displayFolder="" measureGroup="Data" count="0"/>
    <cacheHierarchy uniqueName="[Measures].[ Profit %]" caption=" Profit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DDE RISHANTH" refreshedDate="46298.903589930553" backgroundQuery="1" createdVersion="8" refreshedVersion="8" minRefreshableVersion="3" recordCount="0" supportSubquery="1" supportAdvancedDrill="1" xr:uid="{E3FD573F-0E8E-4951-9BC2-7D8BBB9054AE}">
  <cacheSource type="external" connectionId="1"/>
  <cacheFields count="3">
    <cacheField name="[Data].[Geography].[Geography]" caption="Geography" numFmtId="0" hierarchy="1" level="1">
      <sharedItems count="6">
        <s v="Australia"/>
        <s v="Canada"/>
        <s v="India"/>
        <s v="New Zealand"/>
        <s v="UK"/>
        <s v="USA"/>
      </sharedItems>
    </cacheField>
    <cacheField name="[Data].[Sales Person].[Sales Person]" caption="Sales Person" numFmtId="0" level="1">
      <sharedItems count="4">
        <s v="Gigi Bohling"/>
        <s v="Ches Bonnell"/>
        <s v="Barr Faughny"/>
        <s v="Ram Mahesh"/>
      </sharedItems>
    </cacheField>
    <cacheField name="[Measures].[Sum of Amount]" caption="Sum of Amount" numFmtId="0" hierarchy="7" level="32767"/>
  </cacheFields>
  <cacheHierarchies count="15">
    <cacheHierarchy uniqueName="[Data].[Sales Person]" caption="Sales Person" attribute="1" defaultMemberUniqueName="[Data].[Sales Person].[All]" allUniqueName="[Data].[Sales Person].[All]" dimensionUniqueName="[Data]" displayFolder="" count="2" memberValueDatatype="130" unbalanced="0">
      <fieldsUsage count="2">
        <fieldUsage x="-1"/>
        <fieldUsage x="1"/>
      </fieldsUsage>
    </cacheHierarchy>
    <cacheHierarchy uniqueName="[Data].[Geography]" caption="Geography" attribute="1" defaultMemberUniqueName="[Data].[Geography].[All]" allUniqueName="[Data].[Geography].[All]" dimensionUniqueName="[Data]" displayFolder="" count="2" memberValueDatatype="130" unbalanced="0">
      <fieldsUsage count="2">
        <fieldUsage x="-1"/>
        <fieldUsage x="0"/>
      </fieldsUsage>
    </cacheHierarchy>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oneField="1">
      <fieldsUsage count="1">
        <fieldUsage x="2"/>
      </fieldsUsage>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 caption="Total Profit " measure="1" displayFolder="" measureGroup="Data" count="0"/>
    <cacheHierarchy uniqueName="[Measures].[ Profit %]" caption=" Profit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DDE RISHANTH" refreshedDate="46298.917215393521" backgroundQuery="1" createdVersion="8" refreshedVersion="8" minRefreshableVersion="3" recordCount="0" supportSubquery="1" supportAdvancedDrill="1" xr:uid="{621C5924-2721-4B04-9BD3-C3898C2609B5}">
  <cacheSource type="external" connectionId="1"/>
  <cacheFields count="3">
    <cacheField name="[Dat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Total Profit ]" caption="Total Profit " numFmtId="0" hierarchy="11" level="32767"/>
    <cacheField name="[Data].[Geography].[Geography]" caption="Geography" numFmtId="0" hierarchy="1" level="1">
      <sharedItems containsSemiMixedTypes="0" containsNonDate="0" containsString="0"/>
    </cacheField>
  </cacheFields>
  <cacheHierarchies count="15">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fieldsUsage count="2">
        <fieldUsage x="-1"/>
        <fieldUsage x="2"/>
      </fieldsUsage>
    </cacheHierarchy>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 caption="Total Profit " measure="1" displayFolder="" measureGroup="Data" count="0" oneField="1">
      <fieldsUsage count="1">
        <fieldUsage x="1"/>
      </fieldsUsage>
    </cacheHierarchy>
    <cacheHierarchy uniqueName="[Measures].[ Profit %]" caption=" Profit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DDE RISHANTH" refreshedDate="46298.921442592589" backgroundQuery="1" createdVersion="8" refreshedVersion="8" minRefreshableVersion="3" recordCount="0" supportSubquery="1" supportAdvancedDrill="1" xr:uid="{207728FB-0EA9-494A-ACBD-856649C74C9D}">
  <cacheSource type="external" connectionId="1"/>
  <cacheFields count="6">
    <cacheField name="[Dat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Sum of Amount]" caption="Sum of Amount" numFmtId="0" hierarchy="7" level="32767"/>
    <cacheField name="[Measures].[Sum of Units]" caption="Sum of Units" numFmtId="0" hierarchy="8" level="32767"/>
    <cacheField name="[Measures].[Total Profit ]" caption="Total Profit " numFmtId="0" hierarchy="11" level="32767"/>
    <cacheField name="[Measures].[ Profit %]" caption=" Profit %" numFmtId="0" hierarchy="12" level="32767"/>
    <cacheField name="[Data].[Geography].[Geography]" caption="Geography" numFmtId="0" hierarchy="1" level="1">
      <sharedItems containsSemiMixedTypes="0" containsNonDate="0" containsString="0"/>
    </cacheField>
  </cacheFields>
  <cacheHierarchies count="15">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fieldsUsage count="2">
        <fieldUsage x="-1"/>
        <fieldUsage x="5"/>
      </fieldsUsage>
    </cacheHierarchy>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oneField="1">
      <fieldsUsage count="1">
        <fieldUsage x="1"/>
      </fieldsUsage>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oneField="1">
      <fieldsUsage count="1">
        <fieldUsage x="2"/>
      </fieldsUsage>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 caption="Total Profit " measure="1" displayFolder="" measureGroup="Data" count="0" oneField="1">
      <fieldsUsage count="1">
        <fieldUsage x="3"/>
      </fieldsUsage>
    </cacheHierarchy>
    <cacheHierarchy uniqueName="[Measures].[ Profit %]" caption=" Profit %" measure="1" displayFolder="" measureGroup="Data" count="0" oneField="1">
      <fieldsUsage count="1">
        <fieldUsage x="4"/>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DDE RISHANTH" refreshedDate="46298.903586574073" backgroundQuery="1" createdVersion="3" refreshedVersion="8" minRefreshableVersion="3" recordCount="0" supportSubquery="1" supportAdvancedDrill="1" xr:uid="{3D61D254-7D89-486B-BAB5-AA4306D3A67A}">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 caption="Total Profit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52985280"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DDE RISHANTH" refreshedDate="46298.903593402778" backgroundQuery="1" createdVersion="3" refreshedVersion="8" minRefreshableVersion="3" recordCount="0" supportSubquery="1" supportAdvancedDrill="1" xr:uid="{256D5836-7D62-491D-B5E9-044FD5B778B5}">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Data].[Sales Person]" caption="Sales Person" attribute="1" defaultMemberUniqueName="[Data].[Sales Person].[All]" allUniqueName="[Data].[Sales Person].[All]" dimensionUniqueName="[Data]" displayFolder="" count="2" memberValueDatatype="130" unbalanced="0"/>
    <cacheHierarchy uniqueName="[Data].[Geography]" caption="Geography" attribute="1" defaultMemberUniqueName="[Data].[Geography].[All]" allUniqueName="[Data].[Geography].[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 caption="Total Profit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04565101"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DDE RISHANTH" refreshedDate="46298.907976504626" backgroundQuery="1" createdVersion="3" refreshedVersion="8" minRefreshableVersion="3" recordCount="0" supportSubquery="1" supportAdvancedDrill="1" xr:uid="{8E21DA5D-8358-4972-85D2-18E03A8E044D}">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 caption="Total Profit " measure="1" displayFolder="" measureGroup="Data" count="0"/>
    <cacheHierarchy uniqueName="[Measures].[ Profit %]" caption=" Profit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28844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813D5B-9BC9-4E0A-B9F9-B8E90902A38C}" name="PivotTable3" cacheId="9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untry">
  <location ref="B4:E10" firstHeaderRow="0" firstDataRow="1" firstDataCol="1"/>
  <pivotFields count="5">
    <pivotField axis="axisRow" allDrilled="1" subtotalTop="0" showAll="0" sortType="ascending"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6">
    <i>
      <x/>
    </i>
    <i>
      <x v="1"/>
    </i>
    <i>
      <x v="2"/>
    </i>
    <i>
      <x v="3"/>
    </i>
    <i>
      <x v="4"/>
    </i>
    <i>
      <x v="5"/>
    </i>
  </rowItems>
  <colFields count="1">
    <field x="-2"/>
  </colFields>
  <colItems count="3">
    <i>
      <x/>
    </i>
    <i i="1">
      <x v="1"/>
    </i>
    <i i="2">
      <x v="2"/>
    </i>
  </colItems>
  <dataFields count="3">
    <dataField name="Sum of Amount" fld="1" baseField="0" baseItem="0" numFmtId="167"/>
    <dataField name="  " fld="4" baseField="0" baseItem="0">
      <extLst>
        <ext xmlns:x14="http://schemas.microsoft.com/office/spreadsheetml/2009/9/main" uri="{E15A36E0-9728-4e99-A89B-3F7291B0FE68}">
          <x14:dataField sourceField="1" uniqueName="[__Xl2].[Measures].[Sum of Amount]"/>
        </ext>
      </extLst>
    </dataField>
    <dataField name="Sum of Units" fld="2" baseField="0" baseItem="0"/>
  </dataFields>
  <formats count="12">
    <format dxfId="297">
      <pivotArea outline="0" collapsedLevelsAreSubtotals="1" fieldPosition="0">
        <references count="1">
          <reference field="4294967294" count="1" selected="0">
            <x v="0"/>
          </reference>
        </references>
      </pivotArea>
    </format>
    <format dxfId="296">
      <pivotArea dataOnly="0" fieldPosition="0">
        <references count="1">
          <reference field="0" count="0"/>
        </references>
      </pivotArea>
    </format>
    <format dxfId="116">
      <pivotArea type="all" dataOnly="0" outline="0" fieldPosition="0"/>
    </format>
    <format dxfId="110">
      <pivotArea outline="0" collapsedLevelsAreSubtotals="1" fieldPosition="0"/>
    </format>
    <format dxfId="109">
      <pivotArea field="0" type="button" dataOnly="0" labelOnly="1" outline="0" axis="axisRow" fieldPosition="0"/>
    </format>
    <format dxfId="108">
      <pivotArea dataOnly="0" labelOnly="1" fieldPosition="0">
        <references count="1">
          <reference field="0" count="0"/>
        </references>
      </pivotArea>
    </format>
    <format dxfId="107">
      <pivotArea dataOnly="0" labelOnly="1" outline="0" fieldPosition="0">
        <references count="1">
          <reference field="4294967294" count="3">
            <x v="0"/>
            <x v="1"/>
            <x v="2"/>
          </reference>
        </references>
      </pivotArea>
    </format>
    <format dxfId="106">
      <pivotArea type="all" dataOnly="0" outline="0" fieldPosition="0"/>
    </format>
    <format dxfId="100">
      <pivotArea outline="0" collapsedLevelsAreSubtotals="1" fieldPosition="0"/>
    </format>
    <format dxfId="99">
      <pivotArea field="0" type="button" dataOnly="0" labelOnly="1" outline="0" axis="axisRow" fieldPosition="0"/>
    </format>
    <format dxfId="98">
      <pivotArea dataOnly="0" labelOnly="1" fieldPosition="0">
        <references count="1">
          <reference field="0" count="0"/>
        </references>
      </pivotArea>
    </format>
    <format dxfId="97">
      <pivotArea dataOnly="0" labelOnly="1" outline="0" fieldPosition="0">
        <references count="1">
          <reference field="4294967294" count="3">
            <x v="0"/>
            <x v="1"/>
            <x v="2"/>
          </reference>
        </references>
      </pivotArea>
    </format>
  </formats>
  <conditionalFormats count="1">
    <conditionalFormat priority="1">
      <pivotAreas count="1">
        <pivotArea type="data" outline="0" collapsedLevelsAreSubtotals="1" fieldPosition="0">
          <references count="1">
            <reference field="4294967294" count="1" selected="0">
              <x v="1"/>
            </reference>
          </references>
        </pivotArea>
      </pivotAreas>
    </conditionalFormat>
  </conditionalFormats>
  <pivotHierarchies count="16">
    <pivotHierarchy multipleItemSelectionAllowed="1" dragToData="1">
      <members count="1" level="1">
        <member name="[Data].[Sales Person].&amp;[Curtice Advani]"/>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DA-course-blan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CC03E5-46E9-4AB6-8572-21944AA8234E}" name="PivotTable4" cacheId="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9" firstHeaderRow="1" firstDataRow="1" firstDataCol="1"/>
  <pivotFields count="2">
    <pivotField axis="axisRow" allDrilled="1" subtotalTop="0" showAll="0" measureFilter="1" sortType="descending" defaultSubtotal="0" defaultAttributeDrillState="1">
      <items count="5">
        <item x="4"/>
        <item x="3"/>
        <item x="2"/>
        <item x="1"/>
        <item x="0"/>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formats count="7">
    <format dxfId="149">
      <pivotArea type="all" dataOnly="0" outline="0" fieldPosition="0"/>
    </format>
    <format dxfId="142">
      <pivotArea outline="0" collapsedLevelsAreSubtotals="1" fieldPosition="0"/>
    </format>
    <format dxfId="141">
      <pivotArea field="0" type="button" dataOnly="0" labelOnly="1" outline="0" axis="axisRow" fieldPosition="0"/>
    </format>
    <format dxfId="140">
      <pivotArea dataOnly="0" labelOnly="1" fieldPosition="0">
        <references count="1">
          <reference field="0" count="0"/>
        </references>
      </pivotArea>
    </format>
    <format dxfId="139">
      <pivotArea dataOnly="0" labelOnly="1" grandRow="1" outline="0" fieldPosition="0"/>
    </format>
    <format dxfId="138">
      <pivotArea dataOnly="0" labelOnly="1" outline="0" axis="axisValues" fieldPosition="0"/>
    </format>
    <format dxfId="136">
      <pivotArea dataOnly="0" fieldPosition="0">
        <references count="1">
          <reference field="0" count="0"/>
        </references>
      </pivotArea>
    </format>
  </format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0">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DA-course-blan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464E61-5E1B-4578-BD54-3F0382F7E50B}" name="PivotTable10" cacheId="9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2:G15" firstHeaderRow="1" firstDataRow="1" firstDataCol="1"/>
  <pivotFields count="3">
    <pivotField axis="axisRow" allDrilled="1" subtotalTop="0" showAll="0" sortType="ascending" defaultSubtotal="0" defaultAttributeDrillState="1">
      <items count="6">
        <item x="0"/>
        <item x="1"/>
        <item x="2"/>
        <item x="3"/>
        <item x="4"/>
        <item x="5"/>
      </items>
    </pivotField>
    <pivotField axis="axisRow" allDrilled="1" subtotalTop="0" showAll="0" measureFilter="1"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1"/>
  </rowFields>
  <rowItems count="13">
    <i>
      <x/>
    </i>
    <i r="1">
      <x/>
    </i>
    <i>
      <x v="1"/>
    </i>
    <i r="1">
      <x v="1"/>
    </i>
    <i>
      <x v="2"/>
    </i>
    <i r="1">
      <x v="1"/>
    </i>
    <i>
      <x v="3"/>
    </i>
    <i r="1">
      <x v="2"/>
    </i>
    <i>
      <x v="4"/>
    </i>
    <i r="1">
      <x/>
    </i>
    <i>
      <x v="5"/>
    </i>
    <i r="1">
      <x v="3"/>
    </i>
    <i t="grand">
      <x/>
    </i>
  </rowItems>
  <colItems count="1">
    <i/>
  </colItems>
  <dataFields count="1">
    <dataField name="Sum of Amount" fld="2" baseField="0" baseItem="0"/>
  </dataFields>
  <formats count="12">
    <format dxfId="235">
      <pivotArea type="all" dataOnly="0" outline="0" fieldPosition="0"/>
    </format>
    <format dxfId="222">
      <pivotArea outline="0" collapsedLevelsAreSubtotals="1" fieldPosition="0"/>
    </format>
    <format dxfId="221">
      <pivotArea field="0" type="button" dataOnly="0" labelOnly="1" outline="0" axis="axisRow" fieldPosition="0"/>
    </format>
    <format dxfId="220">
      <pivotArea dataOnly="0" labelOnly="1" fieldPosition="0">
        <references count="1">
          <reference field="0" count="0"/>
        </references>
      </pivotArea>
    </format>
    <format dxfId="219">
      <pivotArea dataOnly="0" labelOnly="1" grandRow="1" outline="0" fieldPosition="0"/>
    </format>
    <format dxfId="218">
      <pivotArea dataOnly="0" labelOnly="1" fieldPosition="0">
        <references count="2">
          <reference field="0" count="1" selected="0">
            <x v="0"/>
          </reference>
          <reference field="1" count="1">
            <x v="0"/>
          </reference>
        </references>
      </pivotArea>
    </format>
    <format dxfId="217">
      <pivotArea dataOnly="0" labelOnly="1" fieldPosition="0">
        <references count="2">
          <reference field="0" count="1" selected="0">
            <x v="1"/>
          </reference>
          <reference field="1" count="1">
            <x v="1"/>
          </reference>
        </references>
      </pivotArea>
    </format>
    <format dxfId="216">
      <pivotArea dataOnly="0" labelOnly="1" fieldPosition="0">
        <references count="2">
          <reference field="0" count="1" selected="0">
            <x v="2"/>
          </reference>
          <reference field="1" count="1">
            <x v="1"/>
          </reference>
        </references>
      </pivotArea>
    </format>
    <format dxfId="215">
      <pivotArea dataOnly="0" labelOnly="1" fieldPosition="0">
        <references count="2">
          <reference field="0" count="1" selected="0">
            <x v="3"/>
          </reference>
          <reference field="1" count="1">
            <x v="2"/>
          </reference>
        </references>
      </pivotArea>
    </format>
    <format dxfId="214">
      <pivotArea dataOnly="0" labelOnly="1" fieldPosition="0">
        <references count="2">
          <reference field="0" count="1" selected="0">
            <x v="4"/>
          </reference>
          <reference field="1" count="1">
            <x v="0"/>
          </reference>
        </references>
      </pivotArea>
    </format>
    <format dxfId="213">
      <pivotArea dataOnly="0" labelOnly="1" fieldPosition="0">
        <references count="2">
          <reference field="0" count="1" selected="0">
            <x v="5"/>
          </reference>
          <reference field="1" count="1">
            <x v="3"/>
          </reference>
        </references>
      </pivotArea>
    </format>
    <format dxfId="212">
      <pivotArea dataOnly="0" labelOnly="1" outline="0" axis="axisValues" fieldPosition="0"/>
    </format>
  </format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3" iMeasureHier="7">
      <autoFilter ref="A1">
        <filterColumn colId="0">
          <top10 top="0" val="1" filterVal="1"/>
        </filterColumn>
      </autoFilter>
    </filter>
  </filters>
  <rowHierarchiesUsage count="2">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DA-course-blan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A5FD48-1235-49DD-8F25-ACD1F48C1369}" name="PivotTable9" cacheId="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15" firstHeaderRow="1" firstDataRow="1" firstDataCol="1"/>
  <pivotFields count="3">
    <pivotField axis="axisRow" allDrilled="1" subtotalTop="0" showAll="0" dataSourceSort="1" defaultSubtotal="0" defaultAttributeDrillState="1">
      <items count="6">
        <item x="0"/>
        <item x="1"/>
        <item x="2"/>
        <item x="3"/>
        <item x="4"/>
        <item x="5"/>
      </items>
    </pivotField>
    <pivotField axis="axisRow" allDrilled="1" subtotalTop="0" showAll="0" measureFilter="1" dataSourceSort="1" defaultSubtotal="0" defaultAttributeDrillState="1">
      <items count="4">
        <item x="0"/>
        <item x="1"/>
        <item x="2"/>
        <item x="3"/>
      </items>
    </pivotField>
    <pivotField dataField="1" subtotalTop="0" showAll="0" defaultSubtotal="0"/>
  </pivotFields>
  <rowFields count="2">
    <field x="0"/>
    <field x="1"/>
  </rowFields>
  <rowItems count="13">
    <i>
      <x/>
    </i>
    <i r="1">
      <x/>
    </i>
    <i>
      <x v="1"/>
    </i>
    <i r="1">
      <x/>
    </i>
    <i>
      <x v="2"/>
    </i>
    <i r="1">
      <x/>
    </i>
    <i>
      <x v="3"/>
    </i>
    <i r="1">
      <x v="1"/>
    </i>
    <i>
      <x v="4"/>
    </i>
    <i r="1">
      <x v="2"/>
    </i>
    <i>
      <x v="5"/>
    </i>
    <i r="1">
      <x v="3"/>
    </i>
    <i t="grand">
      <x/>
    </i>
  </rowItems>
  <colItems count="1">
    <i/>
  </colItems>
  <dataFields count="1">
    <dataField name="Sum of Amount" fld="2" baseField="0" baseItem="0"/>
  </dataFields>
  <formats count="12">
    <format dxfId="210">
      <pivotArea type="all" dataOnly="0" outline="0" fieldPosition="0"/>
    </format>
    <format dxfId="197">
      <pivotArea outline="0" collapsedLevelsAreSubtotals="1" fieldPosition="0"/>
    </format>
    <format dxfId="196">
      <pivotArea field="0" type="button" dataOnly="0" labelOnly="1" outline="0" axis="axisRow" fieldPosition="0"/>
    </format>
    <format dxfId="195">
      <pivotArea dataOnly="0" labelOnly="1" fieldPosition="0">
        <references count="1">
          <reference field="0" count="0"/>
        </references>
      </pivotArea>
    </format>
    <format dxfId="194">
      <pivotArea dataOnly="0" labelOnly="1" grandRow="1" outline="0" fieldPosition="0"/>
    </format>
    <format dxfId="193">
      <pivotArea dataOnly="0" labelOnly="1" fieldPosition="0">
        <references count="2">
          <reference field="0" count="1" selected="0">
            <x v="0"/>
          </reference>
          <reference field="1" count="1">
            <x v="0"/>
          </reference>
        </references>
      </pivotArea>
    </format>
    <format dxfId="192">
      <pivotArea dataOnly="0" labelOnly="1" fieldPosition="0">
        <references count="2">
          <reference field="0" count="1" selected="0">
            <x v="1"/>
          </reference>
          <reference field="1" count="1">
            <x v="0"/>
          </reference>
        </references>
      </pivotArea>
    </format>
    <format dxfId="191">
      <pivotArea dataOnly="0" labelOnly="1" fieldPosition="0">
        <references count="2">
          <reference field="0" count="1" selected="0">
            <x v="2"/>
          </reference>
          <reference field="1" count="1">
            <x v="0"/>
          </reference>
        </references>
      </pivotArea>
    </format>
    <format dxfId="190">
      <pivotArea dataOnly="0" labelOnly="1" fieldPosition="0">
        <references count="2">
          <reference field="0" count="1" selected="0">
            <x v="3"/>
          </reference>
          <reference field="1" count="1">
            <x v="1"/>
          </reference>
        </references>
      </pivotArea>
    </format>
    <format dxfId="189">
      <pivotArea dataOnly="0" labelOnly="1" fieldPosition="0">
        <references count="2">
          <reference field="0" count="1" selected="0">
            <x v="4"/>
          </reference>
          <reference field="1" count="1">
            <x v="2"/>
          </reference>
        </references>
      </pivotArea>
    </format>
    <format dxfId="188">
      <pivotArea dataOnly="0" labelOnly="1" fieldPosition="0">
        <references count="2">
          <reference field="0" count="1" selected="0">
            <x v="5"/>
          </reference>
          <reference field="1" count="1">
            <x v="3"/>
          </reference>
        </references>
      </pivotArea>
    </format>
    <format dxfId="187">
      <pivotArea dataOnly="0" labelOnly="1" outline="0" axis="axisValues" fieldPosition="0"/>
    </format>
  </format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7">
      <autoFilter ref="A1">
        <filterColumn colId="0">
          <top10 val="1" filterVal="1"/>
        </filterColumn>
      </autoFilter>
    </filter>
  </filters>
  <rowHierarchiesUsage count="2">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DA-course-blan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FADBA2-23A0-4844-9740-822C8A4D355F}" name="PivotTable11" cacheId="1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27" firstHeaderRow="1" firstDataRow="1" firstDataCol="1"/>
  <pivotFields count="3">
    <pivotField axis="axisRow" allDrilled="1" subtotalTop="0" showAll="0" sortType="ascending"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 allDrilled="1" subtotalTop="0" showAll="0" dataSourceSort="1" defaultSubtotal="0" defaultAttributeDrillState="1"/>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fld="1" subtotal="count" baseField="0" baseItem="0"/>
  </dataFields>
  <formats count="8">
    <format dxfId="306">
      <pivotArea dataOnly="0" outline="0" fieldPosition="0">
        <references count="1">
          <reference field="4294967294" count="1">
            <x v="0"/>
          </reference>
        </references>
      </pivotArea>
    </format>
    <format dxfId="292">
      <pivotArea dataOnly="0" fieldPosition="0">
        <references count="1">
          <reference field="0" count="0"/>
        </references>
      </pivotArea>
    </format>
    <format dxfId="30">
      <pivotArea type="all" dataOnly="0" outline="0" fieldPosition="0"/>
    </format>
    <format dxfId="23">
      <pivotArea outline="0" collapsedLevelsAreSubtotals="1" fieldPosition="0"/>
    </format>
    <format dxfId="22">
      <pivotArea field="0" type="button" dataOnly="0" labelOnly="1" outline="0" axis="axisRow" fieldPosition="0"/>
    </format>
    <format dxfId="21">
      <pivotArea dataOnly="0" labelOnly="1" fieldPosition="0">
        <references count="1">
          <reference field="0" count="0"/>
        </references>
      </pivotArea>
    </format>
    <format dxfId="20">
      <pivotArea dataOnly="0" labelOnly="1" grandRow="1" outline="0" fieldPosition="0"/>
    </format>
    <format dxfId="19">
      <pivotArea dataOnly="0" labelOnly="1" outline="0" axis="axisValues" fieldPosition="0"/>
    </format>
  </formats>
  <pivotHierarchies count="1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DA-course-blan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561D01-CBC6-4D40-82CD-D18939DEB230}" name="PivotTable1" cacheId="1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F26" firstHeaderRow="0" firstDataRow="1" firstDataCol="1"/>
  <pivotFields count="6">
    <pivotField axis="axisRow" allDrilled="1" subtotalTop="0" showAll="0" sortType="ascending"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4">
    <i>
      <x/>
    </i>
    <i i="1">
      <x v="1"/>
    </i>
    <i i="2">
      <x v="2"/>
    </i>
    <i i="3">
      <x v="3"/>
    </i>
  </colItems>
  <dataFields count="4">
    <dataField name="Sum of Amount" fld="1" baseField="0" baseItem="0"/>
    <dataField name="Sum of Units" fld="2" baseField="0" baseItem="0"/>
    <dataField fld="3" subtotal="count" baseField="0" baseItem="0"/>
    <dataField fld="4" subtotal="count" baseField="0" baseItem="0"/>
  </dataFields>
  <formats count="9">
    <format dxfId="295">
      <pivotArea collapsedLevelsAreSubtotals="1" fieldPosition="0">
        <references count="2">
          <reference field="4294967294" count="1" selected="0">
            <x v="3"/>
          </reference>
          <reference field="0" count="1">
            <x v="0"/>
          </reference>
        </references>
      </pivotArea>
    </format>
    <format dxfId="294">
      <pivotArea collapsedLevelsAreSubtotals="1" fieldPosition="0">
        <references count="2">
          <reference field="4294967294" count="1" selected="0">
            <x v="3"/>
          </reference>
          <reference field="0" count="21">
            <x v="1"/>
            <x v="2"/>
            <x v="3"/>
            <x v="4"/>
            <x v="5"/>
            <x v="6"/>
            <x v="7"/>
            <x v="8"/>
            <x v="9"/>
            <x v="10"/>
            <x v="11"/>
            <x v="12"/>
            <x v="13"/>
            <x v="14"/>
            <x v="15"/>
            <x v="16"/>
            <x v="17"/>
            <x v="18"/>
            <x v="19"/>
            <x v="20"/>
            <x v="21"/>
          </reference>
        </references>
      </pivotArea>
    </format>
    <format dxfId="293">
      <pivotArea field="0" grandRow="1" outline="0" collapsedLevelsAreSubtotals="1" axis="axisRow" fieldPosition="0">
        <references count="1">
          <reference field="4294967294" count="1" selected="0">
            <x v="3"/>
          </reference>
        </references>
      </pivotArea>
    </format>
    <format dxfId="275">
      <pivotArea type="all" dataOnly="0" outline="0" fieldPosition="0"/>
    </format>
    <format dxfId="268">
      <pivotArea outline="0" collapsedLevelsAreSubtotals="1" fieldPosition="0"/>
    </format>
    <format dxfId="267">
      <pivotArea field="0" type="button" dataOnly="0" labelOnly="1" outline="0" axis="axisRow" fieldPosition="0"/>
    </format>
    <format dxfId="266">
      <pivotArea dataOnly="0" labelOnly="1" fieldPosition="0">
        <references count="1">
          <reference field="0" count="0"/>
        </references>
      </pivotArea>
    </format>
    <format dxfId="265">
      <pivotArea dataOnly="0" labelOnly="1" grandRow="1" outline="0" fieldPosition="0"/>
    </format>
    <format dxfId="264">
      <pivotArea dataOnly="0" labelOnly="1" outline="0" fieldPosition="0">
        <references count="1">
          <reference field="4294967294" count="4">
            <x v="0"/>
            <x v="1"/>
            <x v="2"/>
            <x v="3"/>
          </reference>
        </references>
      </pivotArea>
    </format>
  </formats>
  <conditionalFormats count="1">
    <conditionalFormat priority="1">
      <pivotAreas count="1">
        <pivotArea outline="0" fieldPosition="0">
          <references count="1">
            <reference field="4294967294" count="1">
              <x v="3"/>
            </reference>
          </references>
        </pivotArea>
      </pivotAreas>
    </conditionalFormat>
  </conditionalFormats>
  <pivotHierarchies count="1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DA-course-blan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7C033D48-FC05-484E-9952-010FA49DC00A}" sourceName="[Data].[Sales Person]">
  <pivotTables>
    <pivotTable tabId="6" name="PivotTable3"/>
  </pivotTables>
  <data>
    <olap pivotCacheId="504565101">
      <levels count="2">
        <level uniqueName="[Data].[Sales Person].[(All)]" sourceCaption="(All)" count="0"/>
        <level uniqueName="[Data].[Sales Person].[Sales Person]" sourceCaption="Sales Person" count="10">
          <ranges>
            <range startItem="0">
              <i n="[Data].[Sales Person].&amp;[Barr Faughny]" c="Barr Faughny"/>
              <i n="[Data].[Sales Person].&amp;[Brien Boise]" c="Brien Boise"/>
              <i n="[Data].[Sales Person].&amp;[Carla Molina]" c="Carla Molina"/>
              <i n="[Data].[Sales Person].&amp;[Ches Bonnell]" c="Ches Bonnell"/>
              <i n="[Data].[Sales Person].&amp;[Curtice Advani]" c="Curtice Advani"/>
              <i n="[Data].[Sales Person].&amp;[Gigi Bohling]" c="Gigi Bohling"/>
              <i n="[Data].[Sales Person].&amp;[Gunar Cockshoot]" c="Gunar Cockshoot"/>
              <i n="[Data].[Sales Person].&amp;[Husein Augar]" c="Husein Augar"/>
              <i n="[Data].[Sales Person].&amp;[Oby Sorrel]" c="Oby Sorrel"/>
              <i n="[Data].[Sales Person].&amp;[Ram Mahesh]" c="Ram Mahesh"/>
            </range>
          </ranges>
        </level>
      </levels>
      <selections count="1">
        <selection n="[Data].[Sales Person].&amp;[Curtice Advani]"/>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A8C356B6-207F-4085-8FB4-60F22504EABA}" sourceName="[Data].[Geography]">
  <pivotTables>
    <pivotTable tabId="11" name="PivotTable11"/>
  </pivotTables>
  <data>
    <olap pivotCacheId="252985280">
      <levels count="2">
        <level uniqueName="[Data].[Geography].[(All)]" sourceCaption="(All)" count="0"/>
        <level uniqueName="[Data].[Geography].[Geography]" sourceCaption="Geography" count="6">
          <ranges>
            <range startItem="0">
              <i n="[Data].[Geography].&amp;[Australia]" c="Australia"/>
              <i n="[Data].[Geography].&amp;[Canada]" c="Canada"/>
              <i n="[Data].[Geography].&amp;[India]" c="India"/>
              <i n="[Data].[Geography].&amp;[New Zealand]" c="New Zealand"/>
              <i n="[Data].[Geography].&amp;[UK]" c="UK"/>
              <i n="[Data].[Geography].&amp;[USA]" c="USA"/>
            </range>
          </ranges>
        </level>
      </levels>
      <selections count="1">
        <selection n="[Data].[Geograph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 xr10:uid="{3C96B796-6E14-4F3A-A8E9-771E7EBDA512}" sourceName="[Data].[Geography]">
  <pivotTables>
    <pivotTable tabId="13" name="PivotTable1"/>
  </pivotTables>
  <data>
    <olap pivotCacheId="82884400">
      <levels count="2">
        <level uniqueName="[Data].[Geography].[(All)]" sourceCaption="(All)" count="0"/>
        <level uniqueName="[Data].[Geography].[Geography]" sourceCaption="Geography" count="6">
          <ranges>
            <range startItem="0">
              <i n="[Data].[Geography].&amp;[Australia]" c="Australia"/>
              <i n="[Data].[Geography].&amp;[Canada]" c="Canada"/>
              <i n="[Data].[Geography].&amp;[India]" c="India"/>
              <i n="[Data].[Geography].&amp;[New Zealand]" c="New Zealand"/>
              <i n="[Data].[Geography].&amp;[UK]" c="UK"/>
              <i n="[Data].[Geography].&amp;[USA]" c="USA"/>
            </range>
          </ranges>
        </level>
      </levels>
      <selections count="1">
        <selection n="[Data].[Geograp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61D2FE95-CDB2-40EA-B550-2C3DD26775D2}" cache="Slicer_Sales_Person" caption="Sales Person" columnCount="2"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732316B7-F583-4F6D-A95D-2CBBF94ECB8B}" cache="Slicer_Geography" caption="Geography" columnCount="2"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2877478B-5B40-4901-8FAA-B8938B63FB1B}" cache="Slicer_Geography1" caption="Geograph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AC1E92-D947-4232-891E-65555AD7A47E}" name="products" displayName="products" ref="Y11:Z33" totalsRowShown="0">
  <autoFilter ref="Y11:Z33" xr:uid="{6DAC1E92-D947-4232-891E-65555AD7A47E}"/>
  <tableColumns count="2">
    <tableColumn id="1" xr3:uid="{1B8963D1-E60F-4400-A175-651A513B826F}" name="Product"/>
    <tableColumn id="2" xr3:uid="{1798A7DA-FB9F-46D3-AA0A-B6BCA4A81AC3}" name="Cost per unit" dataDxfId="30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BE2789-6D71-4EEB-9214-94402653ABED}" name="Data" displayName="Data" ref="C11:I311" totalsRowShown="0" headerRowDxfId="304">
  <autoFilter ref="C11:I311" xr:uid="{7FBE2789-6D71-4EEB-9214-94402653ABED}"/>
  <tableColumns count="7">
    <tableColumn id="1" xr3:uid="{83D3DE21-4498-4DC3-9DEA-D27C38A18601}" name="Sales Person"/>
    <tableColumn id="2" xr3:uid="{B2DEC6C4-32CD-4972-A1D6-57DE0B9C2386}" name="Geography"/>
    <tableColumn id="3" xr3:uid="{9AD4737B-6833-42E8-B0D8-4FE5BBF3EDDC}" name="Product"/>
    <tableColumn id="4" xr3:uid="{B52344E6-1BFF-4C75-9D12-55D120AE1387}" name="Amount" dataDxfId="303"/>
    <tableColumn id="5" xr3:uid="{51DE61CF-7A79-406F-B0E9-14EC8DBBCFBB}" name="Units" dataDxfId="302"/>
    <tableColumn id="6" xr3:uid="{F3DC6756-54E7-4238-9E38-BFF1BA40FB2D}" name="Cost per unit" dataDxfId="301">
      <calculatedColumnFormula>_xlfn.XLOOKUP(Data[[#This Row],[Product]],products[Product],products[Cost per unit])</calculatedColumnFormula>
    </tableColumn>
    <tableColumn id="7" xr3:uid="{517971DB-D692-4ADC-A6AE-7293EC27D889}" name="cost" dataDxfId="300">
      <calculatedColumnFormula>Data[[#This Row],[Cost per unit]]*Data[[#This Row],[Units]]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2554293-0947-4C88-ABE5-EDA421989368}" name="Data5" displayName="Data5" ref="C2:G302" totalsRowShown="0" headerRowDxfId="299" dataDxfId="91">
  <autoFilter ref="C2:G302" xr:uid="{E2554293-0947-4C88-ABE5-EDA421989368}"/>
  <sortState xmlns:xlrd2="http://schemas.microsoft.com/office/spreadsheetml/2017/richdata2" ref="C3:G302">
    <sortCondition sortBy="cellColor" ref="G2:G302" dxfId="298"/>
  </sortState>
  <tableColumns count="5">
    <tableColumn id="1" xr3:uid="{0595131E-0C46-4A25-85C8-BC187A754A54}" name="Sales Person" dataDxfId="96"/>
    <tableColumn id="2" xr3:uid="{D3533808-99AD-4CD0-B9B7-3F674A6E599B}" name="Geography" dataDxfId="95"/>
    <tableColumn id="3" xr3:uid="{DBE0707C-46B6-48D2-8D34-58F3F93F9B10}" name="Product" dataDxfId="94"/>
    <tableColumn id="4" xr3:uid="{0BB903DE-E8E1-450C-B1CC-598C89F4980F}" name="Amount" dataDxfId="93"/>
    <tableColumn id="5" xr3:uid="{9F77918D-889B-498F-92EA-2ED7B2884352}" name="Units" dataDxfId="9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295BFF2-45EE-4F1F-BA96-F3AF7D7744DC}" name="data6" displayName="data6" ref="L4:P304" totalsRowShown="0" headerRowDxfId="180" dataDxfId="179">
  <autoFilter ref="L4:P304" xr:uid="{3295BFF2-45EE-4F1F-BA96-F3AF7D7744DC}"/>
  <tableColumns count="5">
    <tableColumn id="1" xr3:uid="{D2A9BD04-1A03-4AFA-9856-EAB4A5CF1B70}" name="Sales Person" dataDxfId="185"/>
    <tableColumn id="2" xr3:uid="{9EF6E156-ED01-49F7-BAD8-EEFC0D5BCFC0}" name="Geography" dataDxfId="184"/>
    <tableColumn id="3" xr3:uid="{CEB3AEE5-1502-4DEF-B6F7-8F53DE009BCE}" name="Product" dataDxfId="183"/>
    <tableColumn id="4" xr3:uid="{C1D3EECE-0F9A-41C9-B75D-258AB4ECECD1}" name="Amount" dataDxfId="182"/>
    <tableColumn id="5" xr3:uid="{ED7001F7-2B84-4688-85A3-5979BA855F7C}" name="Units" dataDxfId="18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26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F2594CD-592F-4243-86A6-C32D9F291BDB}">
  <we:reference id="wa200010215" version="2.0.0.1" store="en-US" storeType="OMEX"/>
  <we:alternateReferences>
    <we:reference id="wa200010215" version="2.0.0.1" store="wa200010215" storeType="OMEX"/>
  </we:alternateReferences>
  <we:properties>
    <we:property name="bps.codex_control.document_id" value="&quot;6ea04be2-0c3c-425f-a46a-806d483ff36c&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C1:Z658"/>
  <sheetViews>
    <sheetView showGridLines="0" tabSelected="1" zoomScale="145" zoomScaleNormal="145" workbookViewId="0">
      <selection activeCell="E5" sqref="E5"/>
    </sheetView>
  </sheetViews>
  <sheetFormatPr defaultRowHeight="14.4" x14ac:dyDescent="0.3"/>
  <cols>
    <col min="1" max="1" width="1.6640625" customWidth="1"/>
    <col min="2" max="2" width="3.6640625" customWidth="1"/>
    <col min="3" max="3" width="19.5546875" customWidth="1"/>
    <col min="4" max="4" width="14.6640625" customWidth="1"/>
    <col min="5" max="5" width="21.88671875" bestFit="1" customWidth="1"/>
    <col min="6" max="6" width="13.5546875" customWidth="1"/>
    <col min="7" max="7" width="11.6640625" customWidth="1"/>
    <col min="8" max="8" width="11.109375" customWidth="1"/>
    <col min="9" max="9" width="9.88671875" bestFit="1" customWidth="1"/>
    <col min="10" max="10" width="3.88671875" customWidth="1"/>
    <col min="11" max="11" width="53.88671875" customWidth="1"/>
    <col min="25" max="25" width="21.88671875" bestFit="1" customWidth="1"/>
    <col min="26" max="26" width="14.44140625" customWidth="1"/>
    <col min="31" max="31" width="21.88671875" customWidth="1"/>
  </cols>
  <sheetData>
    <row r="1" spans="3:26" s="34" customFormat="1" ht="16.8" customHeight="1" x14ac:dyDescent="0.3">
      <c r="C1" s="80"/>
    </row>
    <row r="11" spans="3:26" x14ac:dyDescent="0.3">
      <c r="C11" s="4" t="s">
        <v>11</v>
      </c>
      <c r="D11" s="4" t="s">
        <v>12</v>
      </c>
      <c r="E11" s="4" t="s">
        <v>0</v>
      </c>
      <c r="F11" s="8" t="s">
        <v>1</v>
      </c>
      <c r="G11" s="8" t="s">
        <v>49</v>
      </c>
      <c r="H11" s="4" t="s">
        <v>50</v>
      </c>
      <c r="I11" s="4" t="s">
        <v>75</v>
      </c>
      <c r="J11" s="7" t="s">
        <v>42</v>
      </c>
      <c r="K11" s="1"/>
      <c r="Y11" t="s">
        <v>0</v>
      </c>
      <c r="Z11" t="s">
        <v>50</v>
      </c>
    </row>
    <row r="12" spans="3:26" x14ac:dyDescent="0.3">
      <c r="C12" t="s">
        <v>40</v>
      </c>
      <c r="D12" t="s">
        <v>37</v>
      </c>
      <c r="E12" t="s">
        <v>30</v>
      </c>
      <c r="F12" s="14">
        <v>1624</v>
      </c>
      <c r="G12" s="3">
        <v>114</v>
      </c>
      <c r="H12" s="17">
        <f>_xlfn.XLOOKUP(Data[[#This Row],[Product]],products[Product],products[Cost per unit])</f>
        <v>14.49</v>
      </c>
      <c r="I12" s="18">
        <f>Data[[#This Row],[Cost per unit]]*Data[[#This Row],[Units]]</f>
        <v>1651.8600000000001</v>
      </c>
      <c r="J12" s="5">
        <v>1</v>
      </c>
      <c r="K12" s="6" t="s">
        <v>43</v>
      </c>
      <c r="Y12" t="s">
        <v>13</v>
      </c>
      <c r="Z12" s="9">
        <v>9.33</v>
      </c>
    </row>
    <row r="13" spans="3:26" x14ac:dyDescent="0.3">
      <c r="C13" t="s">
        <v>8</v>
      </c>
      <c r="D13" t="s">
        <v>35</v>
      </c>
      <c r="E13" t="s">
        <v>32</v>
      </c>
      <c r="F13" s="14">
        <v>6706</v>
      </c>
      <c r="G13" s="3">
        <v>459</v>
      </c>
      <c r="H13" s="17">
        <f>_xlfn.XLOOKUP(Data[[#This Row],[Product]],products[Product],products[Cost per unit])</f>
        <v>8.65</v>
      </c>
      <c r="I13" s="18">
        <f>Data[[#This Row],[Cost per unit]]*Data[[#This Row],[Units]]</f>
        <v>3970.3500000000004</v>
      </c>
      <c r="J13" s="5">
        <v>2</v>
      </c>
      <c r="K13" s="6" t="s">
        <v>52</v>
      </c>
      <c r="Y13" t="s">
        <v>14</v>
      </c>
      <c r="Z13" s="9">
        <v>11.7</v>
      </c>
    </row>
    <row r="14" spans="3:26" x14ac:dyDescent="0.3">
      <c r="C14" t="s">
        <v>9</v>
      </c>
      <c r="D14" t="s">
        <v>35</v>
      </c>
      <c r="E14" t="s">
        <v>4</v>
      </c>
      <c r="F14" s="14">
        <v>959</v>
      </c>
      <c r="G14" s="3">
        <v>147</v>
      </c>
      <c r="H14" s="17">
        <f>_xlfn.XLOOKUP(Data[[#This Row],[Product]],products[Product],products[Cost per unit])</f>
        <v>11.88</v>
      </c>
      <c r="I14" s="18">
        <f>Data[[#This Row],[Cost per unit]]*Data[[#This Row],[Units]]</f>
        <v>1746.3600000000001</v>
      </c>
      <c r="J14" s="5">
        <v>3</v>
      </c>
      <c r="K14" s="6" t="s">
        <v>44</v>
      </c>
      <c r="Y14" t="s">
        <v>4</v>
      </c>
      <c r="Z14" s="9">
        <v>11.88</v>
      </c>
    </row>
    <row r="15" spans="3:26" x14ac:dyDescent="0.3">
      <c r="C15" t="s">
        <v>41</v>
      </c>
      <c r="D15" t="s">
        <v>36</v>
      </c>
      <c r="E15" t="s">
        <v>18</v>
      </c>
      <c r="F15" s="14">
        <v>9632</v>
      </c>
      <c r="G15" s="3">
        <v>288</v>
      </c>
      <c r="H15" s="17">
        <f>_xlfn.XLOOKUP(Data[[#This Row],[Product]],products[Product],products[Cost per unit])</f>
        <v>6.47</v>
      </c>
      <c r="I15" s="18">
        <f>Data[[#This Row],[Cost per unit]]*Data[[#This Row],[Units]]</f>
        <v>1863.36</v>
      </c>
      <c r="J15" s="5">
        <v>4</v>
      </c>
      <c r="K15" s="6" t="s">
        <v>45</v>
      </c>
      <c r="Y15" t="s">
        <v>15</v>
      </c>
      <c r="Z15" s="9">
        <v>11.73</v>
      </c>
    </row>
    <row r="16" spans="3:26" x14ac:dyDescent="0.3">
      <c r="C16" t="s">
        <v>6</v>
      </c>
      <c r="D16" t="s">
        <v>39</v>
      </c>
      <c r="E16" t="s">
        <v>25</v>
      </c>
      <c r="F16" s="14">
        <v>2100</v>
      </c>
      <c r="G16" s="3">
        <v>414</v>
      </c>
      <c r="H16" s="17">
        <f>_xlfn.XLOOKUP(Data[[#This Row],[Product]],products[Product],products[Cost per unit])</f>
        <v>13.15</v>
      </c>
      <c r="I16" s="18">
        <f>Data[[#This Row],[Cost per unit]]*Data[[#This Row],[Units]]</f>
        <v>5444.1</v>
      </c>
      <c r="J16" s="5">
        <v>5</v>
      </c>
      <c r="K16" s="6" t="s">
        <v>53</v>
      </c>
      <c r="Y16" t="s">
        <v>16</v>
      </c>
      <c r="Z16" s="9">
        <v>8.7899999999999991</v>
      </c>
    </row>
    <row r="17" spans="3:26" x14ac:dyDescent="0.3">
      <c r="C17" t="s">
        <v>40</v>
      </c>
      <c r="D17" t="s">
        <v>35</v>
      </c>
      <c r="E17" t="s">
        <v>33</v>
      </c>
      <c r="F17" s="14">
        <v>8869</v>
      </c>
      <c r="G17" s="3">
        <v>432</v>
      </c>
      <c r="H17" s="17">
        <f>_xlfn.XLOOKUP(Data[[#This Row],[Product]],products[Product],products[Cost per unit])</f>
        <v>12.37</v>
      </c>
      <c r="I17" s="18">
        <f>Data[[#This Row],[Cost per unit]]*Data[[#This Row],[Units]]</f>
        <v>5343.8399999999992</v>
      </c>
      <c r="J17" s="5">
        <v>6</v>
      </c>
      <c r="K17" s="6" t="s">
        <v>54</v>
      </c>
      <c r="Y17" t="s">
        <v>17</v>
      </c>
      <c r="Z17" s="9">
        <v>3.11</v>
      </c>
    </row>
    <row r="18" spans="3:26" x14ac:dyDescent="0.3">
      <c r="C18" t="s">
        <v>6</v>
      </c>
      <c r="D18" t="s">
        <v>38</v>
      </c>
      <c r="E18" t="s">
        <v>31</v>
      </c>
      <c r="F18" s="14">
        <v>2681</v>
      </c>
      <c r="G18" s="3">
        <v>54</v>
      </c>
      <c r="H18" s="17">
        <f>_xlfn.XLOOKUP(Data[[#This Row],[Product]],products[Product],products[Cost per unit])</f>
        <v>5.79</v>
      </c>
      <c r="I18" s="18">
        <f>Data[[#This Row],[Cost per unit]]*Data[[#This Row],[Units]]</f>
        <v>312.66000000000003</v>
      </c>
      <c r="J18" s="5">
        <v>7</v>
      </c>
      <c r="K18" s="6" t="s">
        <v>48</v>
      </c>
      <c r="Y18" t="s">
        <v>18</v>
      </c>
      <c r="Z18" s="9">
        <v>6.47</v>
      </c>
    </row>
    <row r="19" spans="3:26" x14ac:dyDescent="0.3">
      <c r="C19" t="s">
        <v>8</v>
      </c>
      <c r="D19" t="s">
        <v>35</v>
      </c>
      <c r="E19" t="s">
        <v>22</v>
      </c>
      <c r="F19" s="14">
        <v>5012</v>
      </c>
      <c r="G19" s="3">
        <v>210</v>
      </c>
      <c r="H19" s="17">
        <f>_xlfn.XLOOKUP(Data[[#This Row],[Product]],products[Product],products[Cost per unit])</f>
        <v>9.77</v>
      </c>
      <c r="I19" s="18">
        <f>Data[[#This Row],[Cost per unit]]*Data[[#This Row],[Units]]</f>
        <v>2051.6999999999998</v>
      </c>
      <c r="J19" s="5">
        <v>8</v>
      </c>
      <c r="K19" s="6" t="s">
        <v>51</v>
      </c>
      <c r="Y19" t="s">
        <v>19</v>
      </c>
      <c r="Z19" s="9">
        <v>7.64</v>
      </c>
    </row>
    <row r="20" spans="3:26" x14ac:dyDescent="0.3">
      <c r="C20" t="s">
        <v>7</v>
      </c>
      <c r="D20" t="s">
        <v>38</v>
      </c>
      <c r="E20" t="s">
        <v>14</v>
      </c>
      <c r="F20" s="14">
        <v>1281</v>
      </c>
      <c r="G20" s="3">
        <v>75</v>
      </c>
      <c r="H20" s="17">
        <f>_xlfn.XLOOKUP(Data[[#This Row],[Product]],products[Product],products[Cost per unit])</f>
        <v>11.7</v>
      </c>
      <c r="I20" s="18">
        <f>Data[[#This Row],[Cost per unit]]*Data[[#This Row],[Units]]</f>
        <v>877.5</v>
      </c>
      <c r="J20" s="5">
        <v>9</v>
      </c>
      <c r="K20" s="6" t="s">
        <v>46</v>
      </c>
      <c r="Y20" t="s">
        <v>20</v>
      </c>
      <c r="Z20" s="9">
        <v>10.62</v>
      </c>
    </row>
    <row r="21" spans="3:26" x14ac:dyDescent="0.3">
      <c r="C21" t="s">
        <v>5</v>
      </c>
      <c r="D21" t="s">
        <v>37</v>
      </c>
      <c r="E21" t="s">
        <v>14</v>
      </c>
      <c r="F21" s="14">
        <v>4991</v>
      </c>
      <c r="G21" s="3">
        <v>12</v>
      </c>
      <c r="H21" s="17">
        <f>_xlfn.XLOOKUP(Data[[#This Row],[Product]],products[Product],products[Cost per unit])</f>
        <v>11.7</v>
      </c>
      <c r="I21" s="18">
        <f>Data[[#This Row],[Cost per unit]]*Data[[#This Row],[Units]]</f>
        <v>140.39999999999998</v>
      </c>
      <c r="J21" s="5">
        <v>10</v>
      </c>
      <c r="K21" s="6" t="s">
        <v>47</v>
      </c>
      <c r="Y21" t="s">
        <v>21</v>
      </c>
      <c r="Z21" s="9">
        <v>9</v>
      </c>
    </row>
    <row r="22" spans="3:26" x14ac:dyDescent="0.3">
      <c r="C22" t="s">
        <v>2</v>
      </c>
      <c r="D22" t="s">
        <v>39</v>
      </c>
      <c r="E22" t="s">
        <v>25</v>
      </c>
      <c r="F22" s="14">
        <v>1785</v>
      </c>
      <c r="G22" s="3">
        <v>462</v>
      </c>
      <c r="H22" s="17">
        <f>_xlfn.XLOOKUP(Data[[#This Row],[Product]],products[Product],products[Cost per unit])</f>
        <v>13.15</v>
      </c>
      <c r="I22" s="18">
        <f>Data[[#This Row],[Cost per unit]]*Data[[#This Row],[Units]]</f>
        <v>6075.3</v>
      </c>
      <c r="Y22" t="s">
        <v>22</v>
      </c>
      <c r="Z22" s="9">
        <v>9.77</v>
      </c>
    </row>
    <row r="23" spans="3:26" x14ac:dyDescent="0.3">
      <c r="C23" t="s">
        <v>3</v>
      </c>
      <c r="D23" t="s">
        <v>37</v>
      </c>
      <c r="E23" t="s">
        <v>17</v>
      </c>
      <c r="F23" s="14">
        <v>3983</v>
      </c>
      <c r="G23" s="3">
        <v>144</v>
      </c>
      <c r="H23" s="17">
        <f>_xlfn.XLOOKUP(Data[[#This Row],[Product]],products[Product],products[Cost per unit])</f>
        <v>3.11</v>
      </c>
      <c r="I23" s="18">
        <f>Data[[#This Row],[Cost per unit]]*Data[[#This Row],[Units]]</f>
        <v>447.84</v>
      </c>
      <c r="Y23" t="s">
        <v>23</v>
      </c>
      <c r="Z23" s="9">
        <v>6.49</v>
      </c>
    </row>
    <row r="24" spans="3:26" x14ac:dyDescent="0.3">
      <c r="C24" t="s">
        <v>9</v>
      </c>
      <c r="D24" t="s">
        <v>38</v>
      </c>
      <c r="E24" t="s">
        <v>16</v>
      </c>
      <c r="F24" s="14">
        <v>2646</v>
      </c>
      <c r="G24" s="3">
        <v>120</v>
      </c>
      <c r="H24" s="17">
        <f>_xlfn.XLOOKUP(Data[[#This Row],[Product]],products[Product],products[Cost per unit])</f>
        <v>8.7899999999999991</v>
      </c>
      <c r="I24" s="18">
        <f>Data[[#This Row],[Cost per unit]]*Data[[#This Row],[Units]]</f>
        <v>1054.8</v>
      </c>
      <c r="Y24" t="s">
        <v>24</v>
      </c>
      <c r="Z24" s="9">
        <v>4.97</v>
      </c>
    </row>
    <row r="25" spans="3:26" x14ac:dyDescent="0.3">
      <c r="C25" t="s">
        <v>2</v>
      </c>
      <c r="D25" t="s">
        <v>34</v>
      </c>
      <c r="E25" t="s">
        <v>13</v>
      </c>
      <c r="F25" s="14">
        <v>252</v>
      </c>
      <c r="G25" s="3">
        <v>54</v>
      </c>
      <c r="H25" s="17">
        <f>_xlfn.XLOOKUP(Data[[#This Row],[Product]],products[Product],products[Cost per unit])</f>
        <v>9.33</v>
      </c>
      <c r="I25" s="18">
        <f>Data[[#This Row],[Cost per unit]]*Data[[#This Row],[Units]]</f>
        <v>503.82</v>
      </c>
      <c r="Y25" t="s">
        <v>25</v>
      </c>
      <c r="Z25" s="9">
        <v>13.15</v>
      </c>
    </row>
    <row r="26" spans="3:26" x14ac:dyDescent="0.3">
      <c r="C26" t="s">
        <v>3</v>
      </c>
      <c r="D26" t="s">
        <v>35</v>
      </c>
      <c r="E26" t="s">
        <v>25</v>
      </c>
      <c r="F26" s="14">
        <v>2464</v>
      </c>
      <c r="G26" s="3">
        <v>234</v>
      </c>
      <c r="H26" s="17">
        <f>_xlfn.XLOOKUP(Data[[#This Row],[Product]],products[Product],products[Cost per unit])</f>
        <v>13.15</v>
      </c>
      <c r="I26" s="18">
        <f>Data[[#This Row],[Cost per unit]]*Data[[#This Row],[Units]]</f>
        <v>3077.1</v>
      </c>
      <c r="Y26" t="s">
        <v>26</v>
      </c>
      <c r="Z26" s="9">
        <v>5.6</v>
      </c>
    </row>
    <row r="27" spans="3:26" x14ac:dyDescent="0.3">
      <c r="C27" t="s">
        <v>3</v>
      </c>
      <c r="D27" t="s">
        <v>35</v>
      </c>
      <c r="E27" t="s">
        <v>29</v>
      </c>
      <c r="F27" s="14">
        <v>2114</v>
      </c>
      <c r="G27" s="3">
        <v>66</v>
      </c>
      <c r="H27" s="17">
        <f>_xlfn.XLOOKUP(Data[[#This Row],[Product]],products[Product],products[Cost per unit])</f>
        <v>7.16</v>
      </c>
      <c r="I27" s="18">
        <f>Data[[#This Row],[Cost per unit]]*Data[[#This Row],[Units]]</f>
        <v>472.56</v>
      </c>
      <c r="Y27" t="s">
        <v>27</v>
      </c>
      <c r="Z27" s="9">
        <v>16.73</v>
      </c>
    </row>
    <row r="28" spans="3:26" x14ac:dyDescent="0.3">
      <c r="C28" t="s">
        <v>6</v>
      </c>
      <c r="D28" t="s">
        <v>37</v>
      </c>
      <c r="E28" t="s">
        <v>31</v>
      </c>
      <c r="F28" s="14">
        <v>7693</v>
      </c>
      <c r="G28" s="3">
        <v>87</v>
      </c>
      <c r="H28" s="17">
        <f>_xlfn.XLOOKUP(Data[[#This Row],[Product]],products[Product],products[Cost per unit])</f>
        <v>5.79</v>
      </c>
      <c r="I28" s="18">
        <f>Data[[#This Row],[Cost per unit]]*Data[[#This Row],[Units]]</f>
        <v>503.73</v>
      </c>
      <c r="Y28" t="s">
        <v>28</v>
      </c>
      <c r="Z28" s="9">
        <v>10.38</v>
      </c>
    </row>
    <row r="29" spans="3:26" x14ac:dyDescent="0.3">
      <c r="C29" t="s">
        <v>5</v>
      </c>
      <c r="D29" t="s">
        <v>34</v>
      </c>
      <c r="E29" t="s">
        <v>20</v>
      </c>
      <c r="F29" s="14">
        <v>15610</v>
      </c>
      <c r="G29" s="3">
        <v>339</v>
      </c>
      <c r="H29" s="17">
        <f>_xlfn.XLOOKUP(Data[[#This Row],[Product]],products[Product],products[Cost per unit])</f>
        <v>10.62</v>
      </c>
      <c r="I29" s="18">
        <f>Data[[#This Row],[Cost per unit]]*Data[[#This Row],[Units]]</f>
        <v>3600.18</v>
      </c>
      <c r="Y29" t="s">
        <v>29</v>
      </c>
      <c r="Z29" s="9">
        <v>7.16</v>
      </c>
    </row>
    <row r="30" spans="3:26" x14ac:dyDescent="0.3">
      <c r="C30" t="s">
        <v>41</v>
      </c>
      <c r="D30" t="s">
        <v>34</v>
      </c>
      <c r="E30" t="s">
        <v>22</v>
      </c>
      <c r="F30" s="14">
        <v>336</v>
      </c>
      <c r="G30" s="3">
        <v>144</v>
      </c>
      <c r="H30" s="17">
        <f>_xlfn.XLOOKUP(Data[[#This Row],[Product]],products[Product],products[Cost per unit])</f>
        <v>9.77</v>
      </c>
      <c r="I30" s="18">
        <f>Data[[#This Row],[Cost per unit]]*Data[[#This Row],[Units]]</f>
        <v>1406.8799999999999</v>
      </c>
      <c r="Y30" t="s">
        <v>30</v>
      </c>
      <c r="Z30" s="9">
        <v>14.49</v>
      </c>
    </row>
    <row r="31" spans="3:26" x14ac:dyDescent="0.3">
      <c r="C31" t="s">
        <v>2</v>
      </c>
      <c r="D31" t="s">
        <v>39</v>
      </c>
      <c r="E31" t="s">
        <v>20</v>
      </c>
      <c r="F31" s="14">
        <v>9443</v>
      </c>
      <c r="G31" s="3">
        <v>162</v>
      </c>
      <c r="H31" s="17">
        <f>_xlfn.XLOOKUP(Data[[#This Row],[Product]],products[Product],products[Cost per unit])</f>
        <v>10.62</v>
      </c>
      <c r="I31" s="18">
        <f>Data[[#This Row],[Cost per unit]]*Data[[#This Row],[Units]]</f>
        <v>1720.4399999999998</v>
      </c>
      <c r="Y31" t="s">
        <v>31</v>
      </c>
      <c r="Z31" s="9">
        <v>5.79</v>
      </c>
    </row>
    <row r="32" spans="3:26" x14ac:dyDescent="0.3">
      <c r="C32" t="s">
        <v>9</v>
      </c>
      <c r="D32" t="s">
        <v>34</v>
      </c>
      <c r="E32" t="s">
        <v>23</v>
      </c>
      <c r="F32" s="14">
        <v>8155</v>
      </c>
      <c r="G32" s="3">
        <v>90</v>
      </c>
      <c r="H32" s="17">
        <f>_xlfn.XLOOKUP(Data[[#This Row],[Product]],products[Product],products[Cost per unit])</f>
        <v>6.49</v>
      </c>
      <c r="I32" s="18">
        <f>Data[[#This Row],[Cost per unit]]*Data[[#This Row],[Units]]</f>
        <v>584.1</v>
      </c>
      <c r="Y32" t="s">
        <v>32</v>
      </c>
      <c r="Z32" s="9">
        <v>8.65</v>
      </c>
    </row>
    <row r="33" spans="3:26" x14ac:dyDescent="0.3">
      <c r="C33" t="s">
        <v>8</v>
      </c>
      <c r="D33" t="s">
        <v>38</v>
      </c>
      <c r="E33" t="s">
        <v>23</v>
      </c>
      <c r="F33" s="14">
        <v>1701</v>
      </c>
      <c r="G33" s="3">
        <v>234</v>
      </c>
      <c r="H33" s="17">
        <f>_xlfn.XLOOKUP(Data[[#This Row],[Product]],products[Product],products[Cost per unit])</f>
        <v>6.49</v>
      </c>
      <c r="I33" s="18">
        <f>Data[[#This Row],[Cost per unit]]*Data[[#This Row],[Units]]</f>
        <v>1518.66</v>
      </c>
      <c r="Y33" t="s">
        <v>33</v>
      </c>
      <c r="Z33" s="9">
        <v>12.37</v>
      </c>
    </row>
    <row r="34" spans="3:26" x14ac:dyDescent="0.3">
      <c r="C34" t="s">
        <v>10</v>
      </c>
      <c r="D34" t="s">
        <v>38</v>
      </c>
      <c r="E34" t="s">
        <v>22</v>
      </c>
      <c r="F34" s="14">
        <v>2205</v>
      </c>
      <c r="G34" s="3">
        <v>141</v>
      </c>
      <c r="H34" s="17">
        <f>_xlfn.XLOOKUP(Data[[#This Row],[Product]],products[Product],products[Cost per unit])</f>
        <v>9.77</v>
      </c>
      <c r="I34" s="18">
        <f>Data[[#This Row],[Cost per unit]]*Data[[#This Row],[Units]]</f>
        <v>1377.57</v>
      </c>
    </row>
    <row r="35" spans="3:26" x14ac:dyDescent="0.3">
      <c r="C35" t="s">
        <v>8</v>
      </c>
      <c r="D35" t="s">
        <v>37</v>
      </c>
      <c r="E35" t="s">
        <v>19</v>
      </c>
      <c r="F35" s="14">
        <v>1771</v>
      </c>
      <c r="G35" s="3">
        <v>204</v>
      </c>
      <c r="H35" s="17">
        <f>_xlfn.XLOOKUP(Data[[#This Row],[Product]],products[Product],products[Cost per unit])</f>
        <v>7.64</v>
      </c>
      <c r="I35" s="18">
        <f>Data[[#This Row],[Cost per unit]]*Data[[#This Row],[Units]]</f>
        <v>1558.56</v>
      </c>
    </row>
    <row r="36" spans="3:26" x14ac:dyDescent="0.3">
      <c r="C36" t="s">
        <v>41</v>
      </c>
      <c r="D36" t="s">
        <v>35</v>
      </c>
      <c r="E36" t="s">
        <v>15</v>
      </c>
      <c r="F36" s="14">
        <v>2114</v>
      </c>
      <c r="G36" s="3">
        <v>186</v>
      </c>
      <c r="H36" s="17">
        <f>_xlfn.XLOOKUP(Data[[#This Row],[Product]],products[Product],products[Cost per unit])</f>
        <v>11.73</v>
      </c>
      <c r="I36" s="18">
        <f>Data[[#This Row],[Cost per unit]]*Data[[#This Row],[Units]]</f>
        <v>2181.7800000000002</v>
      </c>
    </row>
    <row r="37" spans="3:26" x14ac:dyDescent="0.3">
      <c r="C37" t="s">
        <v>41</v>
      </c>
      <c r="D37" t="s">
        <v>36</v>
      </c>
      <c r="E37" t="s">
        <v>13</v>
      </c>
      <c r="F37" s="14">
        <v>10311</v>
      </c>
      <c r="G37" s="3">
        <v>231</v>
      </c>
      <c r="H37" s="17">
        <f>_xlfn.XLOOKUP(Data[[#This Row],[Product]],products[Product],products[Cost per unit])</f>
        <v>9.33</v>
      </c>
      <c r="I37" s="18">
        <f>Data[[#This Row],[Cost per unit]]*Data[[#This Row],[Units]]</f>
        <v>2155.23</v>
      </c>
    </row>
    <row r="38" spans="3:26" x14ac:dyDescent="0.3">
      <c r="C38" t="s">
        <v>3</v>
      </c>
      <c r="D38" t="s">
        <v>39</v>
      </c>
      <c r="E38" t="s">
        <v>16</v>
      </c>
      <c r="F38" s="14">
        <v>21</v>
      </c>
      <c r="G38" s="3">
        <v>168</v>
      </c>
      <c r="H38" s="17">
        <f>_xlfn.XLOOKUP(Data[[#This Row],[Product]],products[Product],products[Cost per unit])</f>
        <v>8.7899999999999991</v>
      </c>
      <c r="I38" s="18">
        <f>Data[[#This Row],[Cost per unit]]*Data[[#This Row],[Units]]</f>
        <v>1476.7199999999998</v>
      </c>
    </row>
    <row r="39" spans="3:26" x14ac:dyDescent="0.3">
      <c r="C39" t="s">
        <v>10</v>
      </c>
      <c r="D39" t="s">
        <v>35</v>
      </c>
      <c r="E39" t="s">
        <v>20</v>
      </c>
      <c r="F39" s="14">
        <v>1974</v>
      </c>
      <c r="G39" s="3">
        <v>195</v>
      </c>
      <c r="H39" s="17">
        <f>_xlfn.XLOOKUP(Data[[#This Row],[Product]],products[Product],products[Cost per unit])</f>
        <v>10.62</v>
      </c>
      <c r="I39" s="18">
        <f>Data[[#This Row],[Cost per unit]]*Data[[#This Row],[Units]]</f>
        <v>2070.8999999999996</v>
      </c>
    </row>
    <row r="40" spans="3:26" x14ac:dyDescent="0.3">
      <c r="C40" t="s">
        <v>5</v>
      </c>
      <c r="D40" t="s">
        <v>36</v>
      </c>
      <c r="E40" t="s">
        <v>23</v>
      </c>
      <c r="F40" s="14">
        <v>6314</v>
      </c>
      <c r="G40" s="3">
        <v>15</v>
      </c>
      <c r="H40" s="17">
        <f>_xlfn.XLOOKUP(Data[[#This Row],[Product]],products[Product],products[Cost per unit])</f>
        <v>6.49</v>
      </c>
      <c r="I40" s="18">
        <f>Data[[#This Row],[Cost per unit]]*Data[[#This Row],[Units]]</f>
        <v>97.350000000000009</v>
      </c>
    </row>
    <row r="41" spans="3:26" x14ac:dyDescent="0.3">
      <c r="C41" t="s">
        <v>10</v>
      </c>
      <c r="D41" t="s">
        <v>37</v>
      </c>
      <c r="E41" t="s">
        <v>23</v>
      </c>
      <c r="F41" s="14">
        <v>4683</v>
      </c>
      <c r="G41" s="3">
        <v>30</v>
      </c>
      <c r="H41" s="17">
        <f>_xlfn.XLOOKUP(Data[[#This Row],[Product]],products[Product],products[Cost per unit])</f>
        <v>6.49</v>
      </c>
      <c r="I41" s="18">
        <f>Data[[#This Row],[Cost per unit]]*Data[[#This Row],[Units]]</f>
        <v>194.70000000000002</v>
      </c>
    </row>
    <row r="42" spans="3:26" x14ac:dyDescent="0.3">
      <c r="C42" t="s">
        <v>41</v>
      </c>
      <c r="D42" t="s">
        <v>37</v>
      </c>
      <c r="E42" t="s">
        <v>24</v>
      </c>
      <c r="F42" s="14">
        <v>6398</v>
      </c>
      <c r="G42" s="3">
        <v>102</v>
      </c>
      <c r="H42" s="17">
        <f>_xlfn.XLOOKUP(Data[[#This Row],[Product]],products[Product],products[Cost per unit])</f>
        <v>4.97</v>
      </c>
      <c r="I42" s="18">
        <f>Data[[#This Row],[Cost per unit]]*Data[[#This Row],[Units]]</f>
        <v>506.94</v>
      </c>
    </row>
    <row r="43" spans="3:26" x14ac:dyDescent="0.3">
      <c r="C43" t="s">
        <v>2</v>
      </c>
      <c r="D43" t="s">
        <v>35</v>
      </c>
      <c r="E43" t="s">
        <v>19</v>
      </c>
      <c r="F43" s="14">
        <v>553</v>
      </c>
      <c r="G43" s="3">
        <v>15</v>
      </c>
      <c r="H43" s="17">
        <f>_xlfn.XLOOKUP(Data[[#This Row],[Product]],products[Product],products[Cost per unit])</f>
        <v>7.64</v>
      </c>
      <c r="I43" s="18">
        <f>Data[[#This Row],[Cost per unit]]*Data[[#This Row],[Units]]</f>
        <v>114.6</v>
      </c>
    </row>
    <row r="44" spans="3:26" x14ac:dyDescent="0.3">
      <c r="C44" t="s">
        <v>8</v>
      </c>
      <c r="D44" t="s">
        <v>39</v>
      </c>
      <c r="E44" t="s">
        <v>30</v>
      </c>
      <c r="F44" s="14">
        <v>7021</v>
      </c>
      <c r="G44" s="3">
        <v>183</v>
      </c>
      <c r="H44" s="17">
        <f>_xlfn.XLOOKUP(Data[[#This Row],[Product]],products[Product],products[Cost per unit])</f>
        <v>14.49</v>
      </c>
      <c r="I44" s="18">
        <f>Data[[#This Row],[Cost per unit]]*Data[[#This Row],[Units]]</f>
        <v>2651.67</v>
      </c>
    </row>
    <row r="45" spans="3:26" x14ac:dyDescent="0.3">
      <c r="C45" t="s">
        <v>40</v>
      </c>
      <c r="D45" t="s">
        <v>39</v>
      </c>
      <c r="E45" t="s">
        <v>22</v>
      </c>
      <c r="F45" s="14">
        <v>5817</v>
      </c>
      <c r="G45" s="3">
        <v>12</v>
      </c>
      <c r="H45" s="17">
        <f>_xlfn.XLOOKUP(Data[[#This Row],[Product]],products[Product],products[Cost per unit])</f>
        <v>9.77</v>
      </c>
      <c r="I45" s="18">
        <f>Data[[#This Row],[Cost per unit]]*Data[[#This Row],[Units]]</f>
        <v>117.24</v>
      </c>
    </row>
    <row r="46" spans="3:26" x14ac:dyDescent="0.3">
      <c r="C46" t="s">
        <v>41</v>
      </c>
      <c r="D46" t="s">
        <v>39</v>
      </c>
      <c r="E46" t="s">
        <v>14</v>
      </c>
      <c r="F46" s="14">
        <v>3976</v>
      </c>
      <c r="G46" s="3">
        <v>72</v>
      </c>
      <c r="H46" s="17">
        <f>_xlfn.XLOOKUP(Data[[#This Row],[Product]],products[Product],products[Cost per unit])</f>
        <v>11.7</v>
      </c>
      <c r="I46" s="18">
        <f>Data[[#This Row],[Cost per unit]]*Data[[#This Row],[Units]]</f>
        <v>842.4</v>
      </c>
    </row>
    <row r="47" spans="3:26" x14ac:dyDescent="0.3">
      <c r="C47" t="s">
        <v>6</v>
      </c>
      <c r="D47" t="s">
        <v>38</v>
      </c>
      <c r="E47" t="s">
        <v>27</v>
      </c>
      <c r="F47" s="14">
        <v>1134</v>
      </c>
      <c r="G47" s="3">
        <v>282</v>
      </c>
      <c r="H47" s="17">
        <f>_xlfn.XLOOKUP(Data[[#This Row],[Product]],products[Product],products[Cost per unit])</f>
        <v>16.73</v>
      </c>
      <c r="I47" s="18">
        <f>Data[[#This Row],[Cost per unit]]*Data[[#This Row],[Units]]</f>
        <v>4717.8599999999997</v>
      </c>
    </row>
    <row r="48" spans="3:26" x14ac:dyDescent="0.3">
      <c r="C48" t="s">
        <v>2</v>
      </c>
      <c r="D48" t="s">
        <v>39</v>
      </c>
      <c r="E48" t="s">
        <v>28</v>
      </c>
      <c r="F48" s="14">
        <v>6027</v>
      </c>
      <c r="G48" s="3">
        <v>144</v>
      </c>
      <c r="H48" s="17">
        <f>_xlfn.XLOOKUP(Data[[#This Row],[Product]],products[Product],products[Cost per unit])</f>
        <v>10.38</v>
      </c>
      <c r="I48" s="18">
        <f>Data[[#This Row],[Cost per unit]]*Data[[#This Row],[Units]]</f>
        <v>1494.72</v>
      </c>
    </row>
    <row r="49" spans="3:9" x14ac:dyDescent="0.3">
      <c r="C49" t="s">
        <v>6</v>
      </c>
      <c r="D49" t="s">
        <v>37</v>
      </c>
      <c r="E49" t="s">
        <v>16</v>
      </c>
      <c r="F49" s="14">
        <v>1904</v>
      </c>
      <c r="G49" s="3">
        <v>405</v>
      </c>
      <c r="H49" s="17">
        <f>_xlfn.XLOOKUP(Data[[#This Row],[Product]],products[Product],products[Cost per unit])</f>
        <v>8.7899999999999991</v>
      </c>
      <c r="I49" s="18">
        <f>Data[[#This Row],[Cost per unit]]*Data[[#This Row],[Units]]</f>
        <v>3559.95</v>
      </c>
    </row>
    <row r="50" spans="3:9" x14ac:dyDescent="0.3">
      <c r="C50" t="s">
        <v>7</v>
      </c>
      <c r="D50" t="s">
        <v>34</v>
      </c>
      <c r="E50" t="s">
        <v>32</v>
      </c>
      <c r="F50" s="14">
        <v>3262</v>
      </c>
      <c r="G50" s="3">
        <v>75</v>
      </c>
      <c r="H50" s="17">
        <f>_xlfn.XLOOKUP(Data[[#This Row],[Product]],products[Product],products[Cost per unit])</f>
        <v>8.65</v>
      </c>
      <c r="I50" s="18">
        <f>Data[[#This Row],[Cost per unit]]*Data[[#This Row],[Units]]</f>
        <v>648.75</v>
      </c>
    </row>
    <row r="51" spans="3:9" x14ac:dyDescent="0.3">
      <c r="C51" t="s">
        <v>40</v>
      </c>
      <c r="D51" t="s">
        <v>34</v>
      </c>
      <c r="E51" t="s">
        <v>27</v>
      </c>
      <c r="F51" s="14">
        <v>2289</v>
      </c>
      <c r="G51" s="3">
        <v>135</v>
      </c>
      <c r="H51" s="17">
        <f>_xlfn.XLOOKUP(Data[[#This Row],[Product]],products[Product],products[Cost per unit])</f>
        <v>16.73</v>
      </c>
      <c r="I51" s="18">
        <f>Data[[#This Row],[Cost per unit]]*Data[[#This Row],[Units]]</f>
        <v>2258.5500000000002</v>
      </c>
    </row>
    <row r="52" spans="3:9" x14ac:dyDescent="0.3">
      <c r="C52" t="s">
        <v>5</v>
      </c>
      <c r="D52" t="s">
        <v>34</v>
      </c>
      <c r="E52" t="s">
        <v>27</v>
      </c>
      <c r="F52" s="14">
        <v>6986</v>
      </c>
      <c r="G52" s="3">
        <v>21</v>
      </c>
      <c r="H52" s="17">
        <f>_xlfn.XLOOKUP(Data[[#This Row],[Product]],products[Product],products[Cost per unit])</f>
        <v>16.73</v>
      </c>
      <c r="I52" s="18">
        <f>Data[[#This Row],[Cost per unit]]*Data[[#This Row],[Units]]</f>
        <v>351.33</v>
      </c>
    </row>
    <row r="53" spans="3:9" x14ac:dyDescent="0.3">
      <c r="C53" t="s">
        <v>2</v>
      </c>
      <c r="D53" t="s">
        <v>38</v>
      </c>
      <c r="E53" t="s">
        <v>23</v>
      </c>
      <c r="F53" s="14">
        <v>4417</v>
      </c>
      <c r="G53" s="3">
        <v>153</v>
      </c>
      <c r="H53" s="17">
        <f>_xlfn.XLOOKUP(Data[[#This Row],[Product]],products[Product],products[Cost per unit])</f>
        <v>6.49</v>
      </c>
      <c r="I53" s="18">
        <f>Data[[#This Row],[Cost per unit]]*Data[[#This Row],[Units]]</f>
        <v>992.97</v>
      </c>
    </row>
    <row r="54" spans="3:9" x14ac:dyDescent="0.3">
      <c r="C54" t="s">
        <v>6</v>
      </c>
      <c r="D54" t="s">
        <v>34</v>
      </c>
      <c r="E54" t="s">
        <v>15</v>
      </c>
      <c r="F54" s="14">
        <v>1442</v>
      </c>
      <c r="G54" s="3">
        <v>15</v>
      </c>
      <c r="H54" s="17">
        <f>_xlfn.XLOOKUP(Data[[#This Row],[Product]],products[Product],products[Cost per unit])</f>
        <v>11.73</v>
      </c>
      <c r="I54" s="18">
        <f>Data[[#This Row],[Cost per unit]]*Data[[#This Row],[Units]]</f>
        <v>175.95000000000002</v>
      </c>
    </row>
    <row r="55" spans="3:9" x14ac:dyDescent="0.3">
      <c r="C55" t="s">
        <v>3</v>
      </c>
      <c r="D55" t="s">
        <v>35</v>
      </c>
      <c r="E55" t="s">
        <v>14</v>
      </c>
      <c r="F55" s="14">
        <v>2415</v>
      </c>
      <c r="G55" s="3">
        <v>255</v>
      </c>
      <c r="H55" s="17">
        <f>_xlfn.XLOOKUP(Data[[#This Row],[Product]],products[Product],products[Cost per unit])</f>
        <v>11.7</v>
      </c>
      <c r="I55" s="18">
        <f>Data[[#This Row],[Cost per unit]]*Data[[#This Row],[Units]]</f>
        <v>2983.5</v>
      </c>
    </row>
    <row r="56" spans="3:9" x14ac:dyDescent="0.3">
      <c r="C56" t="s">
        <v>2</v>
      </c>
      <c r="D56" t="s">
        <v>37</v>
      </c>
      <c r="E56" t="s">
        <v>19</v>
      </c>
      <c r="F56" s="14">
        <v>238</v>
      </c>
      <c r="G56" s="3">
        <v>18</v>
      </c>
      <c r="H56" s="17">
        <f>_xlfn.XLOOKUP(Data[[#This Row],[Product]],products[Product],products[Cost per unit])</f>
        <v>7.64</v>
      </c>
      <c r="I56" s="18">
        <f>Data[[#This Row],[Cost per unit]]*Data[[#This Row],[Units]]</f>
        <v>137.51999999999998</v>
      </c>
    </row>
    <row r="57" spans="3:9" x14ac:dyDescent="0.3">
      <c r="C57" t="s">
        <v>6</v>
      </c>
      <c r="D57" t="s">
        <v>37</v>
      </c>
      <c r="E57" t="s">
        <v>23</v>
      </c>
      <c r="F57" s="14">
        <v>4949</v>
      </c>
      <c r="G57" s="3">
        <v>189</v>
      </c>
      <c r="H57" s="17">
        <f>_xlfn.XLOOKUP(Data[[#This Row],[Product]],products[Product],products[Cost per unit])</f>
        <v>6.49</v>
      </c>
      <c r="I57" s="18">
        <f>Data[[#This Row],[Cost per unit]]*Data[[#This Row],[Units]]</f>
        <v>1226.6100000000001</v>
      </c>
    </row>
    <row r="58" spans="3:9" x14ac:dyDescent="0.3">
      <c r="C58" t="s">
        <v>5</v>
      </c>
      <c r="D58" t="s">
        <v>38</v>
      </c>
      <c r="E58" t="s">
        <v>32</v>
      </c>
      <c r="F58" s="14">
        <v>5075</v>
      </c>
      <c r="G58" s="3">
        <v>21</v>
      </c>
      <c r="H58" s="17">
        <f>_xlfn.XLOOKUP(Data[[#This Row],[Product]],products[Product],products[Cost per unit])</f>
        <v>8.65</v>
      </c>
      <c r="I58" s="18">
        <f>Data[[#This Row],[Cost per unit]]*Data[[#This Row],[Units]]</f>
        <v>181.65</v>
      </c>
    </row>
    <row r="59" spans="3:9" x14ac:dyDescent="0.3">
      <c r="C59" t="s">
        <v>3</v>
      </c>
      <c r="D59" t="s">
        <v>36</v>
      </c>
      <c r="E59" t="s">
        <v>16</v>
      </c>
      <c r="F59" s="14">
        <v>9198</v>
      </c>
      <c r="G59" s="3">
        <v>36</v>
      </c>
      <c r="H59" s="17">
        <f>_xlfn.XLOOKUP(Data[[#This Row],[Product]],products[Product],products[Cost per unit])</f>
        <v>8.7899999999999991</v>
      </c>
      <c r="I59" s="18">
        <f>Data[[#This Row],[Cost per unit]]*Data[[#This Row],[Units]]</f>
        <v>316.43999999999994</v>
      </c>
    </row>
    <row r="60" spans="3:9" x14ac:dyDescent="0.3">
      <c r="C60" t="s">
        <v>6</v>
      </c>
      <c r="D60" t="s">
        <v>34</v>
      </c>
      <c r="E60" t="s">
        <v>29</v>
      </c>
      <c r="F60" s="14">
        <v>3339</v>
      </c>
      <c r="G60" s="3">
        <v>75</v>
      </c>
      <c r="H60" s="17">
        <f>_xlfn.XLOOKUP(Data[[#This Row],[Product]],products[Product],products[Cost per unit])</f>
        <v>7.16</v>
      </c>
      <c r="I60" s="18">
        <f>Data[[#This Row],[Cost per unit]]*Data[[#This Row],[Units]]</f>
        <v>537</v>
      </c>
    </row>
    <row r="61" spans="3:9" x14ac:dyDescent="0.3">
      <c r="C61" t="s">
        <v>40</v>
      </c>
      <c r="D61" t="s">
        <v>34</v>
      </c>
      <c r="E61" t="s">
        <v>17</v>
      </c>
      <c r="F61" s="14">
        <v>5019</v>
      </c>
      <c r="G61" s="3">
        <v>156</v>
      </c>
      <c r="H61" s="17">
        <f>_xlfn.XLOOKUP(Data[[#This Row],[Product]],products[Product],products[Cost per unit])</f>
        <v>3.11</v>
      </c>
      <c r="I61" s="18">
        <f>Data[[#This Row],[Cost per unit]]*Data[[#This Row],[Units]]</f>
        <v>485.15999999999997</v>
      </c>
    </row>
    <row r="62" spans="3:9" x14ac:dyDescent="0.3">
      <c r="C62" t="s">
        <v>5</v>
      </c>
      <c r="D62" t="s">
        <v>36</v>
      </c>
      <c r="E62" t="s">
        <v>16</v>
      </c>
      <c r="F62" s="14">
        <v>16184</v>
      </c>
      <c r="G62" s="3">
        <v>39</v>
      </c>
      <c r="H62" s="17">
        <f>_xlfn.XLOOKUP(Data[[#This Row],[Product]],products[Product],products[Cost per unit])</f>
        <v>8.7899999999999991</v>
      </c>
      <c r="I62" s="18">
        <f>Data[[#This Row],[Cost per unit]]*Data[[#This Row],[Units]]</f>
        <v>342.80999999999995</v>
      </c>
    </row>
    <row r="63" spans="3:9" x14ac:dyDescent="0.3">
      <c r="C63" t="s">
        <v>6</v>
      </c>
      <c r="D63" t="s">
        <v>36</v>
      </c>
      <c r="E63" t="s">
        <v>21</v>
      </c>
      <c r="F63" s="14">
        <v>497</v>
      </c>
      <c r="G63" s="3">
        <v>63</v>
      </c>
      <c r="H63" s="17">
        <f>_xlfn.XLOOKUP(Data[[#This Row],[Product]],products[Product],products[Cost per unit])</f>
        <v>9</v>
      </c>
      <c r="I63" s="18">
        <f>Data[[#This Row],[Cost per unit]]*Data[[#This Row],[Units]]</f>
        <v>567</v>
      </c>
    </row>
    <row r="64" spans="3:9" x14ac:dyDescent="0.3">
      <c r="C64" t="s">
        <v>2</v>
      </c>
      <c r="D64" t="s">
        <v>36</v>
      </c>
      <c r="E64" t="s">
        <v>29</v>
      </c>
      <c r="F64" s="14">
        <v>8211</v>
      </c>
      <c r="G64" s="3">
        <v>75</v>
      </c>
      <c r="H64" s="17">
        <f>_xlfn.XLOOKUP(Data[[#This Row],[Product]],products[Product],products[Cost per unit])</f>
        <v>7.16</v>
      </c>
      <c r="I64" s="18">
        <f>Data[[#This Row],[Cost per unit]]*Data[[#This Row],[Units]]</f>
        <v>537</v>
      </c>
    </row>
    <row r="65" spans="3:9" x14ac:dyDescent="0.3">
      <c r="C65" t="s">
        <v>2</v>
      </c>
      <c r="D65" t="s">
        <v>38</v>
      </c>
      <c r="E65" t="s">
        <v>28</v>
      </c>
      <c r="F65" s="14">
        <v>6580</v>
      </c>
      <c r="G65" s="3">
        <v>183</v>
      </c>
      <c r="H65" s="17">
        <f>_xlfn.XLOOKUP(Data[[#This Row],[Product]],products[Product],products[Cost per unit])</f>
        <v>10.38</v>
      </c>
      <c r="I65" s="18">
        <f>Data[[#This Row],[Cost per unit]]*Data[[#This Row],[Units]]</f>
        <v>1899.5400000000002</v>
      </c>
    </row>
    <row r="66" spans="3:9" x14ac:dyDescent="0.3">
      <c r="C66" t="s">
        <v>41</v>
      </c>
      <c r="D66" t="s">
        <v>35</v>
      </c>
      <c r="E66" t="s">
        <v>13</v>
      </c>
      <c r="F66" s="14">
        <v>4760</v>
      </c>
      <c r="G66" s="3">
        <v>69</v>
      </c>
      <c r="H66" s="17">
        <f>_xlfn.XLOOKUP(Data[[#This Row],[Product]],products[Product],products[Cost per unit])</f>
        <v>9.33</v>
      </c>
      <c r="I66" s="18">
        <f>Data[[#This Row],[Cost per unit]]*Data[[#This Row],[Units]]</f>
        <v>643.77</v>
      </c>
    </row>
    <row r="67" spans="3:9" x14ac:dyDescent="0.3">
      <c r="C67" t="s">
        <v>40</v>
      </c>
      <c r="D67" t="s">
        <v>36</v>
      </c>
      <c r="E67" t="s">
        <v>25</v>
      </c>
      <c r="F67" s="14">
        <v>5439</v>
      </c>
      <c r="G67" s="3">
        <v>30</v>
      </c>
      <c r="H67" s="17">
        <f>_xlfn.XLOOKUP(Data[[#This Row],[Product]],products[Product],products[Cost per unit])</f>
        <v>13.15</v>
      </c>
      <c r="I67" s="18">
        <f>Data[[#This Row],[Cost per unit]]*Data[[#This Row],[Units]]</f>
        <v>394.5</v>
      </c>
    </row>
    <row r="68" spans="3:9" x14ac:dyDescent="0.3">
      <c r="C68" t="s">
        <v>41</v>
      </c>
      <c r="D68" t="s">
        <v>34</v>
      </c>
      <c r="E68" t="s">
        <v>17</v>
      </c>
      <c r="F68" s="14">
        <v>1463</v>
      </c>
      <c r="G68" s="3">
        <v>39</v>
      </c>
      <c r="H68" s="17">
        <f>_xlfn.XLOOKUP(Data[[#This Row],[Product]],products[Product],products[Cost per unit])</f>
        <v>3.11</v>
      </c>
      <c r="I68" s="18">
        <f>Data[[#This Row],[Cost per unit]]*Data[[#This Row],[Units]]</f>
        <v>121.28999999999999</v>
      </c>
    </row>
    <row r="69" spans="3:9" x14ac:dyDescent="0.3">
      <c r="C69" t="s">
        <v>3</v>
      </c>
      <c r="D69" t="s">
        <v>34</v>
      </c>
      <c r="E69" t="s">
        <v>32</v>
      </c>
      <c r="F69" s="14">
        <v>7777</v>
      </c>
      <c r="G69" s="3">
        <v>504</v>
      </c>
      <c r="H69" s="17">
        <f>_xlfn.XLOOKUP(Data[[#This Row],[Product]],products[Product],products[Cost per unit])</f>
        <v>8.65</v>
      </c>
      <c r="I69" s="18">
        <f>Data[[#This Row],[Cost per unit]]*Data[[#This Row],[Units]]</f>
        <v>4359.6000000000004</v>
      </c>
    </row>
    <row r="70" spans="3:9" x14ac:dyDescent="0.3">
      <c r="C70" t="s">
        <v>9</v>
      </c>
      <c r="D70" t="s">
        <v>37</v>
      </c>
      <c r="E70" t="s">
        <v>29</v>
      </c>
      <c r="F70" s="14">
        <v>1085</v>
      </c>
      <c r="G70" s="3">
        <v>273</v>
      </c>
      <c r="H70" s="17">
        <f>_xlfn.XLOOKUP(Data[[#This Row],[Product]],products[Product],products[Cost per unit])</f>
        <v>7.16</v>
      </c>
      <c r="I70" s="18">
        <f>Data[[#This Row],[Cost per unit]]*Data[[#This Row],[Units]]</f>
        <v>1954.68</v>
      </c>
    </row>
    <row r="71" spans="3:9" x14ac:dyDescent="0.3">
      <c r="C71" t="s">
        <v>5</v>
      </c>
      <c r="D71" t="s">
        <v>37</v>
      </c>
      <c r="E71" t="s">
        <v>31</v>
      </c>
      <c r="F71" s="14">
        <v>182</v>
      </c>
      <c r="G71" s="3">
        <v>48</v>
      </c>
      <c r="H71" s="17">
        <f>_xlfn.XLOOKUP(Data[[#This Row],[Product]],products[Product],products[Cost per unit])</f>
        <v>5.79</v>
      </c>
      <c r="I71" s="18">
        <f>Data[[#This Row],[Cost per unit]]*Data[[#This Row],[Units]]</f>
        <v>277.92</v>
      </c>
    </row>
    <row r="72" spans="3:9" x14ac:dyDescent="0.3">
      <c r="C72" t="s">
        <v>6</v>
      </c>
      <c r="D72" t="s">
        <v>34</v>
      </c>
      <c r="E72" t="s">
        <v>27</v>
      </c>
      <c r="F72" s="14">
        <v>4242</v>
      </c>
      <c r="G72" s="3">
        <v>207</v>
      </c>
      <c r="H72" s="17">
        <f>_xlfn.XLOOKUP(Data[[#This Row],[Product]],products[Product],products[Cost per unit])</f>
        <v>16.73</v>
      </c>
      <c r="I72" s="18">
        <f>Data[[#This Row],[Cost per unit]]*Data[[#This Row],[Units]]</f>
        <v>3463.11</v>
      </c>
    </row>
    <row r="73" spans="3:9" x14ac:dyDescent="0.3">
      <c r="C73" t="s">
        <v>6</v>
      </c>
      <c r="D73" t="s">
        <v>36</v>
      </c>
      <c r="E73" t="s">
        <v>32</v>
      </c>
      <c r="F73" s="14">
        <v>6118</v>
      </c>
      <c r="G73" s="3">
        <v>9</v>
      </c>
      <c r="H73" s="17">
        <f>_xlfn.XLOOKUP(Data[[#This Row],[Product]],products[Product],products[Cost per unit])</f>
        <v>8.65</v>
      </c>
      <c r="I73" s="18">
        <f>Data[[#This Row],[Cost per unit]]*Data[[#This Row],[Units]]</f>
        <v>77.850000000000009</v>
      </c>
    </row>
    <row r="74" spans="3:9" x14ac:dyDescent="0.3">
      <c r="C74" t="s">
        <v>10</v>
      </c>
      <c r="D74" t="s">
        <v>36</v>
      </c>
      <c r="E74" t="s">
        <v>23</v>
      </c>
      <c r="F74" s="14">
        <v>2317</v>
      </c>
      <c r="G74" s="3">
        <v>261</v>
      </c>
      <c r="H74" s="17">
        <f>_xlfn.XLOOKUP(Data[[#This Row],[Product]],products[Product],products[Cost per unit])</f>
        <v>6.49</v>
      </c>
      <c r="I74" s="18">
        <f>Data[[#This Row],[Cost per unit]]*Data[[#This Row],[Units]]</f>
        <v>1693.89</v>
      </c>
    </row>
    <row r="75" spans="3:9" x14ac:dyDescent="0.3">
      <c r="C75" t="s">
        <v>6</v>
      </c>
      <c r="D75" t="s">
        <v>38</v>
      </c>
      <c r="E75" t="s">
        <v>16</v>
      </c>
      <c r="F75" s="14">
        <v>938</v>
      </c>
      <c r="G75" s="3">
        <v>6</v>
      </c>
      <c r="H75" s="17">
        <f>_xlfn.XLOOKUP(Data[[#This Row],[Product]],products[Product],products[Cost per unit])</f>
        <v>8.7899999999999991</v>
      </c>
      <c r="I75" s="18">
        <f>Data[[#This Row],[Cost per unit]]*Data[[#This Row],[Units]]</f>
        <v>52.739999999999995</v>
      </c>
    </row>
    <row r="76" spans="3:9" x14ac:dyDescent="0.3">
      <c r="C76" t="s">
        <v>8</v>
      </c>
      <c r="D76" t="s">
        <v>37</v>
      </c>
      <c r="E76" t="s">
        <v>15</v>
      </c>
      <c r="F76" s="14">
        <v>9709</v>
      </c>
      <c r="G76" s="3">
        <v>30</v>
      </c>
      <c r="H76" s="17">
        <f>_xlfn.XLOOKUP(Data[[#This Row],[Product]],products[Product],products[Cost per unit])</f>
        <v>11.73</v>
      </c>
      <c r="I76" s="18">
        <f>Data[[#This Row],[Cost per unit]]*Data[[#This Row],[Units]]</f>
        <v>351.90000000000003</v>
      </c>
    </row>
    <row r="77" spans="3:9" x14ac:dyDescent="0.3">
      <c r="C77" t="s">
        <v>7</v>
      </c>
      <c r="D77" t="s">
        <v>34</v>
      </c>
      <c r="E77" t="s">
        <v>20</v>
      </c>
      <c r="F77" s="14">
        <v>2205</v>
      </c>
      <c r="G77" s="3">
        <v>138</v>
      </c>
      <c r="H77" s="17">
        <f>_xlfn.XLOOKUP(Data[[#This Row],[Product]],products[Product],products[Cost per unit])</f>
        <v>10.62</v>
      </c>
      <c r="I77" s="18">
        <f>Data[[#This Row],[Cost per unit]]*Data[[#This Row],[Units]]</f>
        <v>1465.56</v>
      </c>
    </row>
    <row r="78" spans="3:9" x14ac:dyDescent="0.3">
      <c r="C78" t="s">
        <v>7</v>
      </c>
      <c r="D78" t="s">
        <v>37</v>
      </c>
      <c r="E78" t="s">
        <v>17</v>
      </c>
      <c r="F78" s="14">
        <v>4487</v>
      </c>
      <c r="G78" s="3">
        <v>111</v>
      </c>
      <c r="H78" s="17">
        <f>_xlfn.XLOOKUP(Data[[#This Row],[Product]],products[Product],products[Cost per unit])</f>
        <v>3.11</v>
      </c>
      <c r="I78" s="18">
        <f>Data[[#This Row],[Cost per unit]]*Data[[#This Row],[Units]]</f>
        <v>345.21</v>
      </c>
    </row>
    <row r="79" spans="3:9" x14ac:dyDescent="0.3">
      <c r="C79" t="s">
        <v>5</v>
      </c>
      <c r="D79" t="s">
        <v>35</v>
      </c>
      <c r="E79" t="s">
        <v>18</v>
      </c>
      <c r="F79" s="14">
        <v>2415</v>
      </c>
      <c r="G79" s="3">
        <v>15</v>
      </c>
      <c r="H79" s="17">
        <f>_xlfn.XLOOKUP(Data[[#This Row],[Product]],products[Product],products[Cost per unit])</f>
        <v>6.47</v>
      </c>
      <c r="I79" s="18">
        <f>Data[[#This Row],[Cost per unit]]*Data[[#This Row],[Units]]</f>
        <v>97.05</v>
      </c>
    </row>
    <row r="80" spans="3:9" x14ac:dyDescent="0.3">
      <c r="C80" t="s">
        <v>40</v>
      </c>
      <c r="D80" t="s">
        <v>34</v>
      </c>
      <c r="E80" t="s">
        <v>19</v>
      </c>
      <c r="F80" s="14">
        <v>4018</v>
      </c>
      <c r="G80" s="3">
        <v>162</v>
      </c>
      <c r="H80" s="17">
        <f>_xlfn.XLOOKUP(Data[[#This Row],[Product]],products[Product],products[Cost per unit])</f>
        <v>7.64</v>
      </c>
      <c r="I80" s="18">
        <f>Data[[#This Row],[Cost per unit]]*Data[[#This Row],[Units]]</f>
        <v>1237.6799999999998</v>
      </c>
    </row>
    <row r="81" spans="3:9" x14ac:dyDescent="0.3">
      <c r="C81" t="s">
        <v>5</v>
      </c>
      <c r="D81" t="s">
        <v>34</v>
      </c>
      <c r="E81" t="s">
        <v>19</v>
      </c>
      <c r="F81" s="14">
        <v>861</v>
      </c>
      <c r="G81" s="3">
        <v>195</v>
      </c>
      <c r="H81" s="17">
        <f>_xlfn.XLOOKUP(Data[[#This Row],[Product]],products[Product],products[Cost per unit])</f>
        <v>7.64</v>
      </c>
      <c r="I81" s="18">
        <f>Data[[#This Row],[Cost per unit]]*Data[[#This Row],[Units]]</f>
        <v>1489.8</v>
      </c>
    </row>
    <row r="82" spans="3:9" x14ac:dyDescent="0.3">
      <c r="C82" t="s">
        <v>10</v>
      </c>
      <c r="D82" t="s">
        <v>38</v>
      </c>
      <c r="E82" t="s">
        <v>14</v>
      </c>
      <c r="F82" s="14">
        <v>5586</v>
      </c>
      <c r="G82" s="3">
        <v>525</v>
      </c>
      <c r="H82" s="17">
        <f>_xlfn.XLOOKUP(Data[[#This Row],[Product]],products[Product],products[Cost per unit])</f>
        <v>11.7</v>
      </c>
      <c r="I82" s="18">
        <f>Data[[#This Row],[Cost per unit]]*Data[[#This Row],[Units]]</f>
        <v>6142.5</v>
      </c>
    </row>
    <row r="83" spans="3:9" x14ac:dyDescent="0.3">
      <c r="C83" t="s">
        <v>7</v>
      </c>
      <c r="D83" t="s">
        <v>34</v>
      </c>
      <c r="E83" t="s">
        <v>33</v>
      </c>
      <c r="F83" s="14">
        <v>2226</v>
      </c>
      <c r="G83" s="3">
        <v>48</v>
      </c>
      <c r="H83" s="17">
        <f>_xlfn.XLOOKUP(Data[[#This Row],[Product]],products[Product],products[Cost per unit])</f>
        <v>12.37</v>
      </c>
      <c r="I83" s="18">
        <f>Data[[#This Row],[Cost per unit]]*Data[[#This Row],[Units]]</f>
        <v>593.76</v>
      </c>
    </row>
    <row r="84" spans="3:9" x14ac:dyDescent="0.3">
      <c r="C84" t="s">
        <v>9</v>
      </c>
      <c r="D84" t="s">
        <v>34</v>
      </c>
      <c r="E84" t="s">
        <v>28</v>
      </c>
      <c r="F84" s="14">
        <v>14329</v>
      </c>
      <c r="G84" s="3">
        <v>150</v>
      </c>
      <c r="H84" s="17">
        <f>_xlfn.XLOOKUP(Data[[#This Row],[Product]],products[Product],products[Cost per unit])</f>
        <v>10.38</v>
      </c>
      <c r="I84" s="18">
        <f>Data[[#This Row],[Cost per unit]]*Data[[#This Row],[Units]]</f>
        <v>1557.0000000000002</v>
      </c>
    </row>
    <row r="85" spans="3:9" x14ac:dyDescent="0.3">
      <c r="C85" t="s">
        <v>9</v>
      </c>
      <c r="D85" t="s">
        <v>34</v>
      </c>
      <c r="E85" t="s">
        <v>20</v>
      </c>
      <c r="F85" s="14">
        <v>8463</v>
      </c>
      <c r="G85" s="3">
        <v>492</v>
      </c>
      <c r="H85" s="17">
        <f>_xlfn.XLOOKUP(Data[[#This Row],[Product]],products[Product],products[Cost per unit])</f>
        <v>10.62</v>
      </c>
      <c r="I85" s="18">
        <f>Data[[#This Row],[Cost per unit]]*Data[[#This Row],[Units]]</f>
        <v>5225.04</v>
      </c>
    </row>
    <row r="86" spans="3:9" x14ac:dyDescent="0.3">
      <c r="C86" t="s">
        <v>5</v>
      </c>
      <c r="D86" t="s">
        <v>34</v>
      </c>
      <c r="E86" t="s">
        <v>29</v>
      </c>
      <c r="F86" s="14">
        <v>2891</v>
      </c>
      <c r="G86" s="3">
        <v>102</v>
      </c>
      <c r="H86" s="17">
        <f>_xlfn.XLOOKUP(Data[[#This Row],[Product]],products[Product],products[Cost per unit])</f>
        <v>7.16</v>
      </c>
      <c r="I86" s="18">
        <f>Data[[#This Row],[Cost per unit]]*Data[[#This Row],[Units]]</f>
        <v>730.32</v>
      </c>
    </row>
    <row r="87" spans="3:9" x14ac:dyDescent="0.3">
      <c r="C87" t="s">
        <v>3</v>
      </c>
      <c r="D87" t="s">
        <v>36</v>
      </c>
      <c r="E87" t="s">
        <v>23</v>
      </c>
      <c r="F87" s="14">
        <v>3773</v>
      </c>
      <c r="G87" s="3">
        <v>165</v>
      </c>
      <c r="H87" s="17">
        <f>_xlfn.XLOOKUP(Data[[#This Row],[Product]],products[Product],products[Cost per unit])</f>
        <v>6.49</v>
      </c>
      <c r="I87" s="18">
        <f>Data[[#This Row],[Cost per unit]]*Data[[#This Row],[Units]]</f>
        <v>1070.8500000000001</v>
      </c>
    </row>
    <row r="88" spans="3:9" x14ac:dyDescent="0.3">
      <c r="C88" t="s">
        <v>41</v>
      </c>
      <c r="D88" t="s">
        <v>36</v>
      </c>
      <c r="E88" t="s">
        <v>28</v>
      </c>
      <c r="F88" s="14">
        <v>854</v>
      </c>
      <c r="G88" s="3">
        <v>309</v>
      </c>
      <c r="H88" s="17">
        <f>_xlfn.XLOOKUP(Data[[#This Row],[Product]],products[Product],products[Cost per unit])</f>
        <v>10.38</v>
      </c>
      <c r="I88" s="18">
        <f>Data[[#This Row],[Cost per unit]]*Data[[#This Row],[Units]]</f>
        <v>3207.42</v>
      </c>
    </row>
    <row r="89" spans="3:9" x14ac:dyDescent="0.3">
      <c r="C89" t="s">
        <v>6</v>
      </c>
      <c r="D89" t="s">
        <v>36</v>
      </c>
      <c r="E89" t="s">
        <v>17</v>
      </c>
      <c r="F89" s="14">
        <v>4970</v>
      </c>
      <c r="G89" s="3">
        <v>156</v>
      </c>
      <c r="H89" s="17">
        <f>_xlfn.XLOOKUP(Data[[#This Row],[Product]],products[Product],products[Cost per unit])</f>
        <v>3.11</v>
      </c>
      <c r="I89" s="18">
        <f>Data[[#This Row],[Cost per unit]]*Data[[#This Row],[Units]]</f>
        <v>485.15999999999997</v>
      </c>
    </row>
    <row r="90" spans="3:9" x14ac:dyDescent="0.3">
      <c r="C90" t="s">
        <v>9</v>
      </c>
      <c r="D90" t="s">
        <v>35</v>
      </c>
      <c r="E90" t="s">
        <v>26</v>
      </c>
      <c r="F90" s="14">
        <v>98</v>
      </c>
      <c r="G90" s="3">
        <v>159</v>
      </c>
      <c r="H90" s="17">
        <f>_xlfn.XLOOKUP(Data[[#This Row],[Product]],products[Product],products[Cost per unit])</f>
        <v>5.6</v>
      </c>
      <c r="I90" s="18">
        <f>Data[[#This Row],[Cost per unit]]*Data[[#This Row],[Units]]</f>
        <v>890.4</v>
      </c>
    </row>
    <row r="91" spans="3:9" x14ac:dyDescent="0.3">
      <c r="C91" t="s">
        <v>5</v>
      </c>
      <c r="D91" t="s">
        <v>35</v>
      </c>
      <c r="E91" t="s">
        <v>15</v>
      </c>
      <c r="F91" s="14">
        <v>13391</v>
      </c>
      <c r="G91" s="3">
        <v>201</v>
      </c>
      <c r="H91" s="17">
        <f>_xlfn.XLOOKUP(Data[[#This Row],[Product]],products[Product],products[Cost per unit])</f>
        <v>11.73</v>
      </c>
      <c r="I91" s="18">
        <f>Data[[#This Row],[Cost per unit]]*Data[[#This Row],[Units]]</f>
        <v>2357.73</v>
      </c>
    </row>
    <row r="92" spans="3:9" x14ac:dyDescent="0.3">
      <c r="C92" t="s">
        <v>8</v>
      </c>
      <c r="D92" t="s">
        <v>39</v>
      </c>
      <c r="E92" t="s">
        <v>31</v>
      </c>
      <c r="F92" s="14">
        <v>8890</v>
      </c>
      <c r="G92" s="3">
        <v>210</v>
      </c>
      <c r="H92" s="17">
        <f>_xlfn.XLOOKUP(Data[[#This Row],[Product]],products[Product],products[Cost per unit])</f>
        <v>5.79</v>
      </c>
      <c r="I92" s="18">
        <f>Data[[#This Row],[Cost per unit]]*Data[[#This Row],[Units]]</f>
        <v>1215.9000000000001</v>
      </c>
    </row>
    <row r="93" spans="3:9" x14ac:dyDescent="0.3">
      <c r="C93" t="s">
        <v>2</v>
      </c>
      <c r="D93" t="s">
        <v>38</v>
      </c>
      <c r="E93" t="s">
        <v>13</v>
      </c>
      <c r="F93" s="14">
        <v>56</v>
      </c>
      <c r="G93" s="3">
        <v>51</v>
      </c>
      <c r="H93" s="17">
        <f>_xlfn.XLOOKUP(Data[[#This Row],[Product]],products[Product],products[Cost per unit])</f>
        <v>9.33</v>
      </c>
      <c r="I93" s="18">
        <f>Data[[#This Row],[Cost per unit]]*Data[[#This Row],[Units]]</f>
        <v>475.83</v>
      </c>
    </row>
    <row r="94" spans="3:9" x14ac:dyDescent="0.3">
      <c r="C94" t="s">
        <v>3</v>
      </c>
      <c r="D94" t="s">
        <v>36</v>
      </c>
      <c r="E94" t="s">
        <v>25</v>
      </c>
      <c r="F94" s="14">
        <v>3339</v>
      </c>
      <c r="G94" s="3">
        <v>39</v>
      </c>
      <c r="H94" s="17">
        <f>_xlfn.XLOOKUP(Data[[#This Row],[Product]],products[Product],products[Cost per unit])</f>
        <v>13.15</v>
      </c>
      <c r="I94" s="18">
        <f>Data[[#This Row],[Cost per unit]]*Data[[#This Row],[Units]]</f>
        <v>512.85</v>
      </c>
    </row>
    <row r="95" spans="3:9" x14ac:dyDescent="0.3">
      <c r="C95" t="s">
        <v>10</v>
      </c>
      <c r="D95" t="s">
        <v>35</v>
      </c>
      <c r="E95" t="s">
        <v>18</v>
      </c>
      <c r="F95" s="14">
        <v>3808</v>
      </c>
      <c r="G95" s="3">
        <v>279</v>
      </c>
      <c r="H95" s="17">
        <f>_xlfn.XLOOKUP(Data[[#This Row],[Product]],products[Product],products[Cost per unit])</f>
        <v>6.47</v>
      </c>
      <c r="I95" s="18">
        <f>Data[[#This Row],[Cost per unit]]*Data[[#This Row],[Units]]</f>
        <v>1805.1299999999999</v>
      </c>
    </row>
    <row r="96" spans="3:9" x14ac:dyDescent="0.3">
      <c r="C96" t="s">
        <v>10</v>
      </c>
      <c r="D96" t="s">
        <v>38</v>
      </c>
      <c r="E96" t="s">
        <v>13</v>
      </c>
      <c r="F96" s="14">
        <v>63</v>
      </c>
      <c r="G96" s="3">
        <v>123</v>
      </c>
      <c r="H96" s="17">
        <f>_xlfn.XLOOKUP(Data[[#This Row],[Product]],products[Product],products[Cost per unit])</f>
        <v>9.33</v>
      </c>
      <c r="I96" s="18">
        <f>Data[[#This Row],[Cost per unit]]*Data[[#This Row],[Units]]</f>
        <v>1147.5899999999999</v>
      </c>
    </row>
    <row r="97" spans="3:9" x14ac:dyDescent="0.3">
      <c r="C97" t="s">
        <v>2</v>
      </c>
      <c r="D97" t="s">
        <v>39</v>
      </c>
      <c r="E97" t="s">
        <v>27</v>
      </c>
      <c r="F97" s="14">
        <v>7812</v>
      </c>
      <c r="G97" s="3">
        <v>81</v>
      </c>
      <c r="H97" s="17">
        <f>_xlfn.XLOOKUP(Data[[#This Row],[Product]],products[Product],products[Cost per unit])</f>
        <v>16.73</v>
      </c>
      <c r="I97" s="18">
        <f>Data[[#This Row],[Cost per unit]]*Data[[#This Row],[Units]]</f>
        <v>1355.13</v>
      </c>
    </row>
    <row r="98" spans="3:9" x14ac:dyDescent="0.3">
      <c r="C98" t="s">
        <v>40</v>
      </c>
      <c r="D98" t="s">
        <v>37</v>
      </c>
      <c r="E98" t="s">
        <v>19</v>
      </c>
      <c r="F98" s="14">
        <v>7693</v>
      </c>
      <c r="G98" s="3">
        <v>21</v>
      </c>
      <c r="H98" s="17">
        <f>_xlfn.XLOOKUP(Data[[#This Row],[Product]],products[Product],products[Cost per unit])</f>
        <v>7.64</v>
      </c>
      <c r="I98" s="18">
        <f>Data[[#This Row],[Cost per unit]]*Data[[#This Row],[Units]]</f>
        <v>160.44</v>
      </c>
    </row>
    <row r="99" spans="3:9" x14ac:dyDescent="0.3">
      <c r="C99" t="s">
        <v>3</v>
      </c>
      <c r="D99" t="s">
        <v>36</v>
      </c>
      <c r="E99" t="s">
        <v>28</v>
      </c>
      <c r="F99" s="14">
        <v>973</v>
      </c>
      <c r="G99" s="3">
        <v>162</v>
      </c>
      <c r="H99" s="17">
        <f>_xlfn.XLOOKUP(Data[[#This Row],[Product]],products[Product],products[Cost per unit])</f>
        <v>10.38</v>
      </c>
      <c r="I99" s="18">
        <f>Data[[#This Row],[Cost per unit]]*Data[[#This Row],[Units]]</f>
        <v>1681.5600000000002</v>
      </c>
    </row>
    <row r="100" spans="3:9" x14ac:dyDescent="0.3">
      <c r="C100" t="s">
        <v>10</v>
      </c>
      <c r="D100" t="s">
        <v>35</v>
      </c>
      <c r="E100" t="s">
        <v>21</v>
      </c>
      <c r="F100" s="14">
        <v>567</v>
      </c>
      <c r="G100" s="3">
        <v>228</v>
      </c>
      <c r="H100" s="17">
        <f>_xlfn.XLOOKUP(Data[[#This Row],[Product]],products[Product],products[Cost per unit])</f>
        <v>9</v>
      </c>
      <c r="I100" s="18">
        <f>Data[[#This Row],[Cost per unit]]*Data[[#This Row],[Units]]</f>
        <v>2052</v>
      </c>
    </row>
    <row r="101" spans="3:9" x14ac:dyDescent="0.3">
      <c r="C101" t="s">
        <v>10</v>
      </c>
      <c r="D101" t="s">
        <v>36</v>
      </c>
      <c r="E101" t="s">
        <v>29</v>
      </c>
      <c r="F101" s="14">
        <v>2471</v>
      </c>
      <c r="G101" s="3">
        <v>342</v>
      </c>
      <c r="H101" s="17">
        <f>_xlfn.XLOOKUP(Data[[#This Row],[Product]],products[Product],products[Cost per unit])</f>
        <v>7.16</v>
      </c>
      <c r="I101" s="18">
        <f>Data[[#This Row],[Cost per unit]]*Data[[#This Row],[Units]]</f>
        <v>2448.7200000000003</v>
      </c>
    </row>
    <row r="102" spans="3:9" x14ac:dyDescent="0.3">
      <c r="C102" t="s">
        <v>5</v>
      </c>
      <c r="D102" t="s">
        <v>38</v>
      </c>
      <c r="E102" t="s">
        <v>13</v>
      </c>
      <c r="F102" s="14">
        <v>7189</v>
      </c>
      <c r="G102" s="3">
        <v>54</v>
      </c>
      <c r="H102" s="17">
        <f>_xlfn.XLOOKUP(Data[[#This Row],[Product]],products[Product],products[Cost per unit])</f>
        <v>9.33</v>
      </c>
      <c r="I102" s="18">
        <f>Data[[#This Row],[Cost per unit]]*Data[[#This Row],[Units]]</f>
        <v>503.82</v>
      </c>
    </row>
    <row r="103" spans="3:9" x14ac:dyDescent="0.3">
      <c r="C103" t="s">
        <v>41</v>
      </c>
      <c r="D103" t="s">
        <v>35</v>
      </c>
      <c r="E103" t="s">
        <v>28</v>
      </c>
      <c r="F103" s="14">
        <v>7455</v>
      </c>
      <c r="G103" s="3">
        <v>216</v>
      </c>
      <c r="H103" s="17">
        <f>_xlfn.XLOOKUP(Data[[#This Row],[Product]],products[Product],products[Cost per unit])</f>
        <v>10.38</v>
      </c>
      <c r="I103" s="18">
        <f>Data[[#This Row],[Cost per unit]]*Data[[#This Row],[Units]]</f>
        <v>2242.0800000000004</v>
      </c>
    </row>
    <row r="104" spans="3:9" x14ac:dyDescent="0.3">
      <c r="C104" t="s">
        <v>3</v>
      </c>
      <c r="D104" t="s">
        <v>34</v>
      </c>
      <c r="E104" t="s">
        <v>26</v>
      </c>
      <c r="F104" s="14">
        <v>3108</v>
      </c>
      <c r="G104" s="3">
        <v>54</v>
      </c>
      <c r="H104" s="17">
        <f>_xlfn.XLOOKUP(Data[[#This Row],[Product]],products[Product],products[Cost per unit])</f>
        <v>5.6</v>
      </c>
      <c r="I104" s="18">
        <f>Data[[#This Row],[Cost per unit]]*Data[[#This Row],[Units]]</f>
        <v>302.39999999999998</v>
      </c>
    </row>
    <row r="105" spans="3:9" x14ac:dyDescent="0.3">
      <c r="C105" t="s">
        <v>6</v>
      </c>
      <c r="D105" t="s">
        <v>38</v>
      </c>
      <c r="E105" t="s">
        <v>25</v>
      </c>
      <c r="F105" s="14">
        <v>469</v>
      </c>
      <c r="G105" s="3">
        <v>75</v>
      </c>
      <c r="H105" s="17">
        <f>_xlfn.XLOOKUP(Data[[#This Row],[Product]],products[Product],products[Cost per unit])</f>
        <v>13.15</v>
      </c>
      <c r="I105" s="18">
        <f>Data[[#This Row],[Cost per unit]]*Data[[#This Row],[Units]]</f>
        <v>986.25</v>
      </c>
    </row>
    <row r="106" spans="3:9" x14ac:dyDescent="0.3">
      <c r="C106" t="s">
        <v>9</v>
      </c>
      <c r="D106" t="s">
        <v>37</v>
      </c>
      <c r="E106" t="s">
        <v>23</v>
      </c>
      <c r="F106" s="14">
        <v>2737</v>
      </c>
      <c r="G106" s="3">
        <v>93</v>
      </c>
      <c r="H106" s="17">
        <f>_xlfn.XLOOKUP(Data[[#This Row],[Product]],products[Product],products[Cost per unit])</f>
        <v>6.49</v>
      </c>
      <c r="I106" s="18">
        <f>Data[[#This Row],[Cost per unit]]*Data[[#This Row],[Units]]</f>
        <v>603.57000000000005</v>
      </c>
    </row>
    <row r="107" spans="3:9" x14ac:dyDescent="0.3">
      <c r="C107" t="s">
        <v>9</v>
      </c>
      <c r="D107" t="s">
        <v>37</v>
      </c>
      <c r="E107" t="s">
        <v>25</v>
      </c>
      <c r="F107" s="14">
        <v>4305</v>
      </c>
      <c r="G107" s="3">
        <v>156</v>
      </c>
      <c r="H107" s="17">
        <f>_xlfn.XLOOKUP(Data[[#This Row],[Product]],products[Product],products[Cost per unit])</f>
        <v>13.15</v>
      </c>
      <c r="I107" s="18">
        <f>Data[[#This Row],[Cost per unit]]*Data[[#This Row],[Units]]</f>
        <v>2051.4</v>
      </c>
    </row>
    <row r="108" spans="3:9" x14ac:dyDescent="0.3">
      <c r="C108" t="s">
        <v>9</v>
      </c>
      <c r="D108" t="s">
        <v>38</v>
      </c>
      <c r="E108" t="s">
        <v>17</v>
      </c>
      <c r="F108" s="14">
        <v>2408</v>
      </c>
      <c r="G108" s="3">
        <v>9</v>
      </c>
      <c r="H108" s="17">
        <f>_xlfn.XLOOKUP(Data[[#This Row],[Product]],products[Product],products[Cost per unit])</f>
        <v>3.11</v>
      </c>
      <c r="I108" s="18">
        <f>Data[[#This Row],[Cost per unit]]*Data[[#This Row],[Units]]</f>
        <v>27.99</v>
      </c>
    </row>
    <row r="109" spans="3:9" x14ac:dyDescent="0.3">
      <c r="C109" t="s">
        <v>3</v>
      </c>
      <c r="D109" t="s">
        <v>36</v>
      </c>
      <c r="E109" t="s">
        <v>19</v>
      </c>
      <c r="F109" s="14">
        <v>1281</v>
      </c>
      <c r="G109" s="3">
        <v>18</v>
      </c>
      <c r="H109" s="17">
        <f>_xlfn.XLOOKUP(Data[[#This Row],[Product]],products[Product],products[Cost per unit])</f>
        <v>7.64</v>
      </c>
      <c r="I109" s="18">
        <f>Data[[#This Row],[Cost per unit]]*Data[[#This Row],[Units]]</f>
        <v>137.51999999999998</v>
      </c>
    </row>
    <row r="110" spans="3:9" x14ac:dyDescent="0.3">
      <c r="C110" t="s">
        <v>40</v>
      </c>
      <c r="D110" t="s">
        <v>35</v>
      </c>
      <c r="E110" t="s">
        <v>32</v>
      </c>
      <c r="F110" s="14">
        <v>12348</v>
      </c>
      <c r="G110" s="3">
        <v>234</v>
      </c>
      <c r="H110" s="17">
        <f>_xlfn.XLOOKUP(Data[[#This Row],[Product]],products[Product],products[Cost per unit])</f>
        <v>8.65</v>
      </c>
      <c r="I110" s="18">
        <f>Data[[#This Row],[Cost per unit]]*Data[[#This Row],[Units]]</f>
        <v>2024.1000000000001</v>
      </c>
    </row>
    <row r="111" spans="3:9" x14ac:dyDescent="0.3">
      <c r="C111" t="s">
        <v>3</v>
      </c>
      <c r="D111" t="s">
        <v>34</v>
      </c>
      <c r="E111" t="s">
        <v>28</v>
      </c>
      <c r="F111" s="14">
        <v>3689</v>
      </c>
      <c r="G111" s="3">
        <v>312</v>
      </c>
      <c r="H111" s="17">
        <f>_xlfn.XLOOKUP(Data[[#This Row],[Product]],products[Product],products[Cost per unit])</f>
        <v>10.38</v>
      </c>
      <c r="I111" s="18">
        <f>Data[[#This Row],[Cost per unit]]*Data[[#This Row],[Units]]</f>
        <v>3238.5600000000004</v>
      </c>
    </row>
    <row r="112" spans="3:9" x14ac:dyDescent="0.3">
      <c r="C112" t="s">
        <v>7</v>
      </c>
      <c r="D112" t="s">
        <v>36</v>
      </c>
      <c r="E112" t="s">
        <v>19</v>
      </c>
      <c r="F112" s="14">
        <v>2870</v>
      </c>
      <c r="G112" s="3">
        <v>300</v>
      </c>
      <c r="H112" s="17">
        <f>_xlfn.XLOOKUP(Data[[#This Row],[Product]],products[Product],products[Cost per unit])</f>
        <v>7.64</v>
      </c>
      <c r="I112" s="18">
        <f>Data[[#This Row],[Cost per unit]]*Data[[#This Row],[Units]]</f>
        <v>2292</v>
      </c>
    </row>
    <row r="113" spans="3:9" x14ac:dyDescent="0.3">
      <c r="C113" t="s">
        <v>2</v>
      </c>
      <c r="D113" t="s">
        <v>36</v>
      </c>
      <c r="E113" t="s">
        <v>27</v>
      </c>
      <c r="F113" s="14">
        <v>798</v>
      </c>
      <c r="G113" s="3">
        <v>519</v>
      </c>
      <c r="H113" s="17">
        <f>_xlfn.XLOOKUP(Data[[#This Row],[Product]],products[Product],products[Cost per unit])</f>
        <v>16.73</v>
      </c>
      <c r="I113" s="18">
        <f>Data[[#This Row],[Cost per unit]]*Data[[#This Row],[Units]]</f>
        <v>8682.8700000000008</v>
      </c>
    </row>
    <row r="114" spans="3:9" x14ac:dyDescent="0.3">
      <c r="C114" t="s">
        <v>41</v>
      </c>
      <c r="D114" t="s">
        <v>37</v>
      </c>
      <c r="E114" t="s">
        <v>21</v>
      </c>
      <c r="F114" s="14">
        <v>2933</v>
      </c>
      <c r="G114" s="3">
        <v>9</v>
      </c>
      <c r="H114" s="17">
        <f>_xlfn.XLOOKUP(Data[[#This Row],[Product]],products[Product],products[Cost per unit])</f>
        <v>9</v>
      </c>
      <c r="I114" s="18">
        <f>Data[[#This Row],[Cost per unit]]*Data[[#This Row],[Units]]</f>
        <v>81</v>
      </c>
    </row>
    <row r="115" spans="3:9" x14ac:dyDescent="0.3">
      <c r="C115" t="s">
        <v>5</v>
      </c>
      <c r="D115" t="s">
        <v>35</v>
      </c>
      <c r="E115" t="s">
        <v>4</v>
      </c>
      <c r="F115" s="14">
        <v>2744</v>
      </c>
      <c r="G115" s="3">
        <v>9</v>
      </c>
      <c r="H115" s="17">
        <f>_xlfn.XLOOKUP(Data[[#This Row],[Product]],products[Product],products[Cost per unit])</f>
        <v>11.88</v>
      </c>
      <c r="I115" s="18">
        <f>Data[[#This Row],[Cost per unit]]*Data[[#This Row],[Units]]</f>
        <v>106.92</v>
      </c>
    </row>
    <row r="116" spans="3:9" x14ac:dyDescent="0.3">
      <c r="C116" t="s">
        <v>40</v>
      </c>
      <c r="D116" t="s">
        <v>36</v>
      </c>
      <c r="E116" t="s">
        <v>33</v>
      </c>
      <c r="F116" s="14">
        <v>9772</v>
      </c>
      <c r="G116" s="3">
        <v>90</v>
      </c>
      <c r="H116" s="17">
        <f>_xlfn.XLOOKUP(Data[[#This Row],[Product]],products[Product],products[Cost per unit])</f>
        <v>12.37</v>
      </c>
      <c r="I116" s="18">
        <f>Data[[#This Row],[Cost per unit]]*Data[[#This Row],[Units]]</f>
        <v>1113.3</v>
      </c>
    </row>
    <row r="117" spans="3:9" x14ac:dyDescent="0.3">
      <c r="C117" t="s">
        <v>7</v>
      </c>
      <c r="D117" t="s">
        <v>34</v>
      </c>
      <c r="E117" t="s">
        <v>25</v>
      </c>
      <c r="F117" s="14">
        <v>1568</v>
      </c>
      <c r="G117" s="3">
        <v>96</v>
      </c>
      <c r="H117" s="17">
        <f>_xlfn.XLOOKUP(Data[[#This Row],[Product]],products[Product],products[Cost per unit])</f>
        <v>13.15</v>
      </c>
      <c r="I117" s="18">
        <f>Data[[#This Row],[Cost per unit]]*Data[[#This Row],[Units]]</f>
        <v>1262.4000000000001</v>
      </c>
    </row>
    <row r="118" spans="3:9" x14ac:dyDescent="0.3">
      <c r="C118" t="s">
        <v>2</v>
      </c>
      <c r="D118" t="s">
        <v>36</v>
      </c>
      <c r="E118" t="s">
        <v>16</v>
      </c>
      <c r="F118" s="14">
        <v>11417</v>
      </c>
      <c r="G118" s="3">
        <v>21</v>
      </c>
      <c r="H118" s="17">
        <f>_xlfn.XLOOKUP(Data[[#This Row],[Product]],products[Product],products[Cost per unit])</f>
        <v>8.7899999999999991</v>
      </c>
      <c r="I118" s="18">
        <f>Data[[#This Row],[Cost per unit]]*Data[[#This Row],[Units]]</f>
        <v>184.58999999999997</v>
      </c>
    </row>
    <row r="119" spans="3:9" x14ac:dyDescent="0.3">
      <c r="C119" t="s">
        <v>40</v>
      </c>
      <c r="D119" t="s">
        <v>34</v>
      </c>
      <c r="E119" t="s">
        <v>26</v>
      </c>
      <c r="F119" s="14">
        <v>6748</v>
      </c>
      <c r="G119" s="3">
        <v>48</v>
      </c>
      <c r="H119" s="17">
        <f>_xlfn.XLOOKUP(Data[[#This Row],[Product]],products[Product],products[Cost per unit])</f>
        <v>5.6</v>
      </c>
      <c r="I119" s="18">
        <f>Data[[#This Row],[Cost per unit]]*Data[[#This Row],[Units]]</f>
        <v>268.79999999999995</v>
      </c>
    </row>
    <row r="120" spans="3:9" x14ac:dyDescent="0.3">
      <c r="C120" t="s">
        <v>10</v>
      </c>
      <c r="D120" t="s">
        <v>36</v>
      </c>
      <c r="E120" t="s">
        <v>27</v>
      </c>
      <c r="F120" s="14">
        <v>1407</v>
      </c>
      <c r="G120" s="3">
        <v>72</v>
      </c>
      <c r="H120" s="17">
        <f>_xlfn.XLOOKUP(Data[[#This Row],[Product]],products[Product],products[Cost per unit])</f>
        <v>16.73</v>
      </c>
      <c r="I120" s="18">
        <f>Data[[#This Row],[Cost per unit]]*Data[[#This Row],[Units]]</f>
        <v>1204.56</v>
      </c>
    </row>
    <row r="121" spans="3:9" x14ac:dyDescent="0.3">
      <c r="C121" t="s">
        <v>8</v>
      </c>
      <c r="D121" t="s">
        <v>35</v>
      </c>
      <c r="E121" t="s">
        <v>29</v>
      </c>
      <c r="F121" s="14">
        <v>2023</v>
      </c>
      <c r="G121" s="3">
        <v>168</v>
      </c>
      <c r="H121" s="17">
        <f>_xlfn.XLOOKUP(Data[[#This Row],[Product]],products[Product],products[Cost per unit])</f>
        <v>7.16</v>
      </c>
      <c r="I121" s="18">
        <f>Data[[#This Row],[Cost per unit]]*Data[[#This Row],[Units]]</f>
        <v>1202.8800000000001</v>
      </c>
    </row>
    <row r="122" spans="3:9" x14ac:dyDescent="0.3">
      <c r="C122" t="s">
        <v>5</v>
      </c>
      <c r="D122" t="s">
        <v>39</v>
      </c>
      <c r="E122" t="s">
        <v>26</v>
      </c>
      <c r="F122" s="14">
        <v>5236</v>
      </c>
      <c r="G122" s="3">
        <v>51</v>
      </c>
      <c r="H122" s="17">
        <f>_xlfn.XLOOKUP(Data[[#This Row],[Product]],products[Product],products[Cost per unit])</f>
        <v>5.6</v>
      </c>
      <c r="I122" s="18">
        <f>Data[[#This Row],[Cost per unit]]*Data[[#This Row],[Units]]</f>
        <v>285.59999999999997</v>
      </c>
    </row>
    <row r="123" spans="3:9" x14ac:dyDescent="0.3">
      <c r="C123" t="s">
        <v>41</v>
      </c>
      <c r="D123" t="s">
        <v>36</v>
      </c>
      <c r="E123" t="s">
        <v>19</v>
      </c>
      <c r="F123" s="14">
        <v>1925</v>
      </c>
      <c r="G123" s="3">
        <v>192</v>
      </c>
      <c r="H123" s="17">
        <f>_xlfn.XLOOKUP(Data[[#This Row],[Product]],products[Product],products[Cost per unit])</f>
        <v>7.64</v>
      </c>
      <c r="I123" s="18">
        <f>Data[[#This Row],[Cost per unit]]*Data[[#This Row],[Units]]</f>
        <v>1466.8799999999999</v>
      </c>
    </row>
    <row r="124" spans="3:9" x14ac:dyDescent="0.3">
      <c r="C124" t="s">
        <v>7</v>
      </c>
      <c r="D124" t="s">
        <v>37</v>
      </c>
      <c r="E124" t="s">
        <v>14</v>
      </c>
      <c r="F124" s="14">
        <v>6608</v>
      </c>
      <c r="G124" s="3">
        <v>225</v>
      </c>
      <c r="H124" s="17">
        <f>_xlfn.XLOOKUP(Data[[#This Row],[Product]],products[Product],products[Cost per unit])</f>
        <v>11.7</v>
      </c>
      <c r="I124" s="18">
        <f>Data[[#This Row],[Cost per unit]]*Data[[#This Row],[Units]]</f>
        <v>2632.5</v>
      </c>
    </row>
    <row r="125" spans="3:9" x14ac:dyDescent="0.3">
      <c r="C125" t="s">
        <v>6</v>
      </c>
      <c r="D125" t="s">
        <v>34</v>
      </c>
      <c r="E125" t="s">
        <v>26</v>
      </c>
      <c r="F125" s="14">
        <v>8008</v>
      </c>
      <c r="G125" s="3">
        <v>456</v>
      </c>
      <c r="H125" s="17">
        <f>_xlfn.XLOOKUP(Data[[#This Row],[Product]],products[Product],products[Cost per unit])</f>
        <v>5.6</v>
      </c>
      <c r="I125" s="18">
        <f>Data[[#This Row],[Cost per unit]]*Data[[#This Row],[Units]]</f>
        <v>2553.6</v>
      </c>
    </row>
    <row r="126" spans="3:9" x14ac:dyDescent="0.3">
      <c r="C126" t="s">
        <v>10</v>
      </c>
      <c r="D126" t="s">
        <v>34</v>
      </c>
      <c r="E126" t="s">
        <v>25</v>
      </c>
      <c r="F126" s="14">
        <v>1428</v>
      </c>
      <c r="G126" s="3">
        <v>93</v>
      </c>
      <c r="H126" s="17">
        <f>_xlfn.XLOOKUP(Data[[#This Row],[Product]],products[Product],products[Cost per unit])</f>
        <v>13.15</v>
      </c>
      <c r="I126" s="18">
        <f>Data[[#This Row],[Cost per unit]]*Data[[#This Row],[Units]]</f>
        <v>1222.95</v>
      </c>
    </row>
    <row r="127" spans="3:9" x14ac:dyDescent="0.3">
      <c r="C127" t="s">
        <v>6</v>
      </c>
      <c r="D127" t="s">
        <v>34</v>
      </c>
      <c r="E127" t="s">
        <v>4</v>
      </c>
      <c r="F127" s="14">
        <v>525</v>
      </c>
      <c r="G127" s="3">
        <v>48</v>
      </c>
      <c r="H127" s="17">
        <f>_xlfn.XLOOKUP(Data[[#This Row],[Product]],products[Product],products[Cost per unit])</f>
        <v>11.88</v>
      </c>
      <c r="I127" s="18">
        <f>Data[[#This Row],[Cost per unit]]*Data[[#This Row],[Units]]</f>
        <v>570.24</v>
      </c>
    </row>
    <row r="128" spans="3:9" x14ac:dyDescent="0.3">
      <c r="C128" t="s">
        <v>6</v>
      </c>
      <c r="D128" t="s">
        <v>37</v>
      </c>
      <c r="E128" t="s">
        <v>18</v>
      </c>
      <c r="F128" s="14">
        <v>1505</v>
      </c>
      <c r="G128" s="3">
        <v>102</v>
      </c>
      <c r="H128" s="17">
        <f>_xlfn.XLOOKUP(Data[[#This Row],[Product]],products[Product],products[Cost per unit])</f>
        <v>6.47</v>
      </c>
      <c r="I128" s="18">
        <f>Data[[#This Row],[Cost per unit]]*Data[[#This Row],[Units]]</f>
        <v>659.93999999999994</v>
      </c>
    </row>
    <row r="129" spans="3:9" x14ac:dyDescent="0.3">
      <c r="C129" t="s">
        <v>7</v>
      </c>
      <c r="D129" t="s">
        <v>35</v>
      </c>
      <c r="E129" t="s">
        <v>30</v>
      </c>
      <c r="F129" s="14">
        <v>6755</v>
      </c>
      <c r="G129" s="3">
        <v>252</v>
      </c>
      <c r="H129" s="17">
        <f>_xlfn.XLOOKUP(Data[[#This Row],[Product]],products[Product],products[Cost per unit])</f>
        <v>14.49</v>
      </c>
      <c r="I129" s="18">
        <f>Data[[#This Row],[Cost per unit]]*Data[[#This Row],[Units]]</f>
        <v>3651.48</v>
      </c>
    </row>
    <row r="130" spans="3:9" x14ac:dyDescent="0.3">
      <c r="C130" t="s">
        <v>2</v>
      </c>
      <c r="D130" t="s">
        <v>37</v>
      </c>
      <c r="E130" t="s">
        <v>18</v>
      </c>
      <c r="F130" s="14">
        <v>11571</v>
      </c>
      <c r="G130" s="3">
        <v>138</v>
      </c>
      <c r="H130" s="17">
        <f>_xlfn.XLOOKUP(Data[[#This Row],[Product]],products[Product],products[Cost per unit])</f>
        <v>6.47</v>
      </c>
      <c r="I130" s="18">
        <f>Data[[#This Row],[Cost per unit]]*Data[[#This Row],[Units]]</f>
        <v>892.86</v>
      </c>
    </row>
    <row r="131" spans="3:9" x14ac:dyDescent="0.3">
      <c r="C131" t="s">
        <v>40</v>
      </c>
      <c r="D131" t="s">
        <v>38</v>
      </c>
      <c r="E131" t="s">
        <v>25</v>
      </c>
      <c r="F131" s="14">
        <v>2541</v>
      </c>
      <c r="G131" s="3">
        <v>90</v>
      </c>
      <c r="H131" s="17">
        <f>_xlfn.XLOOKUP(Data[[#This Row],[Product]],products[Product],products[Cost per unit])</f>
        <v>13.15</v>
      </c>
      <c r="I131" s="18">
        <f>Data[[#This Row],[Cost per unit]]*Data[[#This Row],[Units]]</f>
        <v>1183.5</v>
      </c>
    </row>
    <row r="132" spans="3:9" x14ac:dyDescent="0.3">
      <c r="C132" t="s">
        <v>41</v>
      </c>
      <c r="D132" t="s">
        <v>37</v>
      </c>
      <c r="E132" t="s">
        <v>30</v>
      </c>
      <c r="F132" s="14">
        <v>1526</v>
      </c>
      <c r="G132" s="3">
        <v>240</v>
      </c>
      <c r="H132" s="17">
        <f>_xlfn.XLOOKUP(Data[[#This Row],[Product]],products[Product],products[Cost per unit])</f>
        <v>14.49</v>
      </c>
      <c r="I132" s="18">
        <f>Data[[#This Row],[Cost per unit]]*Data[[#This Row],[Units]]</f>
        <v>3477.6</v>
      </c>
    </row>
    <row r="133" spans="3:9" x14ac:dyDescent="0.3">
      <c r="C133" t="s">
        <v>40</v>
      </c>
      <c r="D133" t="s">
        <v>38</v>
      </c>
      <c r="E133" t="s">
        <v>4</v>
      </c>
      <c r="F133" s="14">
        <v>6125</v>
      </c>
      <c r="G133" s="3">
        <v>102</v>
      </c>
      <c r="H133" s="17">
        <f>_xlfn.XLOOKUP(Data[[#This Row],[Product]],products[Product],products[Cost per unit])</f>
        <v>11.88</v>
      </c>
      <c r="I133" s="18">
        <f>Data[[#This Row],[Cost per unit]]*Data[[#This Row],[Units]]</f>
        <v>1211.76</v>
      </c>
    </row>
    <row r="134" spans="3:9" x14ac:dyDescent="0.3">
      <c r="C134" t="s">
        <v>41</v>
      </c>
      <c r="D134" t="s">
        <v>35</v>
      </c>
      <c r="E134" t="s">
        <v>27</v>
      </c>
      <c r="F134" s="14">
        <v>847</v>
      </c>
      <c r="G134" s="3">
        <v>129</v>
      </c>
      <c r="H134" s="17">
        <f>_xlfn.XLOOKUP(Data[[#This Row],[Product]],products[Product],products[Cost per unit])</f>
        <v>16.73</v>
      </c>
      <c r="I134" s="18">
        <f>Data[[#This Row],[Cost per unit]]*Data[[#This Row],[Units]]</f>
        <v>2158.17</v>
      </c>
    </row>
    <row r="135" spans="3:9" x14ac:dyDescent="0.3">
      <c r="C135" t="s">
        <v>8</v>
      </c>
      <c r="D135" t="s">
        <v>35</v>
      </c>
      <c r="E135" t="s">
        <v>27</v>
      </c>
      <c r="F135" s="14">
        <v>4753</v>
      </c>
      <c r="G135" s="3">
        <v>300</v>
      </c>
      <c r="H135" s="17">
        <f>_xlfn.XLOOKUP(Data[[#This Row],[Product]],products[Product],products[Cost per unit])</f>
        <v>16.73</v>
      </c>
      <c r="I135" s="18">
        <f>Data[[#This Row],[Cost per unit]]*Data[[#This Row],[Units]]</f>
        <v>5019</v>
      </c>
    </row>
    <row r="136" spans="3:9" x14ac:dyDescent="0.3">
      <c r="C136" t="s">
        <v>6</v>
      </c>
      <c r="D136" t="s">
        <v>38</v>
      </c>
      <c r="E136" t="s">
        <v>33</v>
      </c>
      <c r="F136" s="14">
        <v>959</v>
      </c>
      <c r="G136" s="3">
        <v>135</v>
      </c>
      <c r="H136" s="17">
        <f>_xlfn.XLOOKUP(Data[[#This Row],[Product]],products[Product],products[Cost per unit])</f>
        <v>12.37</v>
      </c>
      <c r="I136" s="18">
        <f>Data[[#This Row],[Cost per unit]]*Data[[#This Row],[Units]]</f>
        <v>1669.9499999999998</v>
      </c>
    </row>
    <row r="137" spans="3:9" x14ac:dyDescent="0.3">
      <c r="C137" t="s">
        <v>7</v>
      </c>
      <c r="D137" t="s">
        <v>35</v>
      </c>
      <c r="E137" t="s">
        <v>24</v>
      </c>
      <c r="F137" s="14">
        <v>2793</v>
      </c>
      <c r="G137" s="3">
        <v>114</v>
      </c>
      <c r="H137" s="17">
        <f>_xlfn.XLOOKUP(Data[[#This Row],[Product]],products[Product],products[Cost per unit])</f>
        <v>4.97</v>
      </c>
      <c r="I137" s="18">
        <f>Data[[#This Row],[Cost per unit]]*Data[[#This Row],[Units]]</f>
        <v>566.57999999999993</v>
      </c>
    </row>
    <row r="138" spans="3:9" x14ac:dyDescent="0.3">
      <c r="C138" t="s">
        <v>7</v>
      </c>
      <c r="D138" t="s">
        <v>35</v>
      </c>
      <c r="E138" t="s">
        <v>14</v>
      </c>
      <c r="F138" s="14">
        <v>4606</v>
      </c>
      <c r="G138" s="3">
        <v>63</v>
      </c>
      <c r="H138" s="17">
        <f>_xlfn.XLOOKUP(Data[[#This Row],[Product]],products[Product],products[Cost per unit])</f>
        <v>11.7</v>
      </c>
      <c r="I138" s="18">
        <f>Data[[#This Row],[Cost per unit]]*Data[[#This Row],[Units]]</f>
        <v>737.09999999999991</v>
      </c>
    </row>
    <row r="139" spans="3:9" x14ac:dyDescent="0.3">
      <c r="C139" t="s">
        <v>7</v>
      </c>
      <c r="D139" t="s">
        <v>36</v>
      </c>
      <c r="E139" t="s">
        <v>29</v>
      </c>
      <c r="F139" s="14">
        <v>5551</v>
      </c>
      <c r="G139" s="3">
        <v>252</v>
      </c>
      <c r="H139" s="17">
        <f>_xlfn.XLOOKUP(Data[[#This Row],[Product]],products[Product],products[Cost per unit])</f>
        <v>7.16</v>
      </c>
      <c r="I139" s="18">
        <f>Data[[#This Row],[Cost per unit]]*Data[[#This Row],[Units]]</f>
        <v>1804.32</v>
      </c>
    </row>
    <row r="140" spans="3:9" x14ac:dyDescent="0.3">
      <c r="C140" t="s">
        <v>10</v>
      </c>
      <c r="D140" t="s">
        <v>36</v>
      </c>
      <c r="E140" t="s">
        <v>32</v>
      </c>
      <c r="F140" s="14">
        <v>6657</v>
      </c>
      <c r="G140" s="3">
        <v>303</v>
      </c>
      <c r="H140" s="17">
        <f>_xlfn.XLOOKUP(Data[[#This Row],[Product]],products[Product],products[Cost per unit])</f>
        <v>8.65</v>
      </c>
      <c r="I140" s="18">
        <f>Data[[#This Row],[Cost per unit]]*Data[[#This Row],[Units]]</f>
        <v>2620.9500000000003</v>
      </c>
    </row>
    <row r="141" spans="3:9" x14ac:dyDescent="0.3">
      <c r="C141" t="s">
        <v>7</v>
      </c>
      <c r="D141" t="s">
        <v>39</v>
      </c>
      <c r="E141" t="s">
        <v>17</v>
      </c>
      <c r="F141" s="14">
        <v>4438</v>
      </c>
      <c r="G141" s="3">
        <v>246</v>
      </c>
      <c r="H141" s="17">
        <f>_xlfn.XLOOKUP(Data[[#This Row],[Product]],products[Product],products[Cost per unit])</f>
        <v>3.11</v>
      </c>
      <c r="I141" s="18">
        <f>Data[[#This Row],[Cost per unit]]*Data[[#This Row],[Units]]</f>
        <v>765.06</v>
      </c>
    </row>
    <row r="142" spans="3:9" x14ac:dyDescent="0.3">
      <c r="C142" t="s">
        <v>8</v>
      </c>
      <c r="D142" t="s">
        <v>38</v>
      </c>
      <c r="E142" t="s">
        <v>22</v>
      </c>
      <c r="F142" s="14">
        <v>168</v>
      </c>
      <c r="G142" s="3">
        <v>84</v>
      </c>
      <c r="H142" s="17">
        <f>_xlfn.XLOOKUP(Data[[#This Row],[Product]],products[Product],products[Cost per unit])</f>
        <v>9.77</v>
      </c>
      <c r="I142" s="18">
        <f>Data[[#This Row],[Cost per unit]]*Data[[#This Row],[Units]]</f>
        <v>820.68</v>
      </c>
    </row>
    <row r="143" spans="3:9" x14ac:dyDescent="0.3">
      <c r="C143" t="s">
        <v>7</v>
      </c>
      <c r="D143" t="s">
        <v>34</v>
      </c>
      <c r="E143" t="s">
        <v>17</v>
      </c>
      <c r="F143" s="14">
        <v>7777</v>
      </c>
      <c r="G143" s="3">
        <v>39</v>
      </c>
      <c r="H143" s="17">
        <f>_xlfn.XLOOKUP(Data[[#This Row],[Product]],products[Product],products[Cost per unit])</f>
        <v>3.11</v>
      </c>
      <c r="I143" s="18">
        <f>Data[[#This Row],[Cost per unit]]*Data[[#This Row],[Units]]</f>
        <v>121.28999999999999</v>
      </c>
    </row>
    <row r="144" spans="3:9" x14ac:dyDescent="0.3">
      <c r="C144" t="s">
        <v>5</v>
      </c>
      <c r="D144" t="s">
        <v>36</v>
      </c>
      <c r="E144" t="s">
        <v>17</v>
      </c>
      <c r="F144" s="14">
        <v>3339</v>
      </c>
      <c r="G144" s="3">
        <v>348</v>
      </c>
      <c r="H144" s="17">
        <f>_xlfn.XLOOKUP(Data[[#This Row],[Product]],products[Product],products[Cost per unit])</f>
        <v>3.11</v>
      </c>
      <c r="I144" s="18">
        <f>Data[[#This Row],[Cost per unit]]*Data[[#This Row],[Units]]</f>
        <v>1082.28</v>
      </c>
    </row>
    <row r="145" spans="3:9" x14ac:dyDescent="0.3">
      <c r="C145" t="s">
        <v>7</v>
      </c>
      <c r="D145" t="s">
        <v>37</v>
      </c>
      <c r="E145" t="s">
        <v>33</v>
      </c>
      <c r="F145" s="14">
        <v>6391</v>
      </c>
      <c r="G145" s="3">
        <v>48</v>
      </c>
      <c r="H145" s="17">
        <f>_xlfn.XLOOKUP(Data[[#This Row],[Product]],products[Product],products[Cost per unit])</f>
        <v>12.37</v>
      </c>
      <c r="I145" s="18">
        <f>Data[[#This Row],[Cost per unit]]*Data[[#This Row],[Units]]</f>
        <v>593.76</v>
      </c>
    </row>
    <row r="146" spans="3:9" x14ac:dyDescent="0.3">
      <c r="C146" t="s">
        <v>5</v>
      </c>
      <c r="D146" t="s">
        <v>37</v>
      </c>
      <c r="E146" t="s">
        <v>22</v>
      </c>
      <c r="F146" s="14">
        <v>518</v>
      </c>
      <c r="G146" s="3">
        <v>75</v>
      </c>
      <c r="H146" s="17">
        <f>_xlfn.XLOOKUP(Data[[#This Row],[Product]],products[Product],products[Cost per unit])</f>
        <v>9.77</v>
      </c>
      <c r="I146" s="18">
        <f>Data[[#This Row],[Cost per unit]]*Data[[#This Row],[Units]]</f>
        <v>732.75</v>
      </c>
    </row>
    <row r="147" spans="3:9" x14ac:dyDescent="0.3">
      <c r="C147" t="s">
        <v>7</v>
      </c>
      <c r="D147" t="s">
        <v>38</v>
      </c>
      <c r="E147" t="s">
        <v>28</v>
      </c>
      <c r="F147" s="14">
        <v>5677</v>
      </c>
      <c r="G147" s="3">
        <v>258</v>
      </c>
      <c r="H147" s="17">
        <f>_xlfn.XLOOKUP(Data[[#This Row],[Product]],products[Product],products[Cost per unit])</f>
        <v>10.38</v>
      </c>
      <c r="I147" s="18">
        <f>Data[[#This Row],[Cost per unit]]*Data[[#This Row],[Units]]</f>
        <v>2678.0400000000004</v>
      </c>
    </row>
    <row r="148" spans="3:9" x14ac:dyDescent="0.3">
      <c r="C148" t="s">
        <v>6</v>
      </c>
      <c r="D148" t="s">
        <v>39</v>
      </c>
      <c r="E148" t="s">
        <v>17</v>
      </c>
      <c r="F148" s="14">
        <v>6048</v>
      </c>
      <c r="G148" s="3">
        <v>27</v>
      </c>
      <c r="H148" s="17">
        <f>_xlfn.XLOOKUP(Data[[#This Row],[Product]],products[Product],products[Cost per unit])</f>
        <v>3.11</v>
      </c>
      <c r="I148" s="18">
        <f>Data[[#This Row],[Cost per unit]]*Data[[#This Row],[Units]]</f>
        <v>83.97</v>
      </c>
    </row>
    <row r="149" spans="3:9" x14ac:dyDescent="0.3">
      <c r="C149" t="s">
        <v>8</v>
      </c>
      <c r="D149" t="s">
        <v>38</v>
      </c>
      <c r="E149" t="s">
        <v>32</v>
      </c>
      <c r="F149" s="14">
        <v>3752</v>
      </c>
      <c r="G149" s="3">
        <v>213</v>
      </c>
      <c r="H149" s="17">
        <f>_xlfn.XLOOKUP(Data[[#This Row],[Product]],products[Product],products[Cost per unit])</f>
        <v>8.65</v>
      </c>
      <c r="I149" s="18">
        <f>Data[[#This Row],[Cost per unit]]*Data[[#This Row],[Units]]</f>
        <v>1842.45</v>
      </c>
    </row>
    <row r="150" spans="3:9" x14ac:dyDescent="0.3">
      <c r="C150" t="s">
        <v>5</v>
      </c>
      <c r="D150" t="s">
        <v>35</v>
      </c>
      <c r="E150" t="s">
        <v>29</v>
      </c>
      <c r="F150" s="14">
        <v>4480</v>
      </c>
      <c r="G150" s="3">
        <v>357</v>
      </c>
      <c r="H150" s="17">
        <f>_xlfn.XLOOKUP(Data[[#This Row],[Product]],products[Product],products[Cost per unit])</f>
        <v>7.16</v>
      </c>
      <c r="I150" s="18">
        <f>Data[[#This Row],[Cost per unit]]*Data[[#This Row],[Units]]</f>
        <v>2556.12</v>
      </c>
    </row>
    <row r="151" spans="3:9" x14ac:dyDescent="0.3">
      <c r="C151" t="s">
        <v>9</v>
      </c>
      <c r="D151" t="s">
        <v>37</v>
      </c>
      <c r="E151" t="s">
        <v>4</v>
      </c>
      <c r="F151" s="14">
        <v>259</v>
      </c>
      <c r="G151" s="3">
        <v>207</v>
      </c>
      <c r="H151" s="17">
        <f>_xlfn.XLOOKUP(Data[[#This Row],[Product]],products[Product],products[Cost per unit])</f>
        <v>11.88</v>
      </c>
      <c r="I151" s="18">
        <f>Data[[#This Row],[Cost per unit]]*Data[[#This Row],[Units]]</f>
        <v>2459.1600000000003</v>
      </c>
    </row>
    <row r="152" spans="3:9" x14ac:dyDescent="0.3">
      <c r="C152" t="s">
        <v>8</v>
      </c>
      <c r="D152" t="s">
        <v>37</v>
      </c>
      <c r="E152" t="s">
        <v>30</v>
      </c>
      <c r="F152" s="14">
        <v>42</v>
      </c>
      <c r="G152" s="3">
        <v>150</v>
      </c>
      <c r="H152" s="17">
        <f>_xlfn.XLOOKUP(Data[[#This Row],[Product]],products[Product],products[Cost per unit])</f>
        <v>14.49</v>
      </c>
      <c r="I152" s="18">
        <f>Data[[#This Row],[Cost per unit]]*Data[[#This Row],[Units]]</f>
        <v>2173.5</v>
      </c>
    </row>
    <row r="153" spans="3:9" x14ac:dyDescent="0.3">
      <c r="C153" t="s">
        <v>41</v>
      </c>
      <c r="D153" t="s">
        <v>36</v>
      </c>
      <c r="E153" t="s">
        <v>26</v>
      </c>
      <c r="F153" s="14">
        <v>98</v>
      </c>
      <c r="G153" s="3">
        <v>204</v>
      </c>
      <c r="H153" s="17">
        <f>_xlfn.XLOOKUP(Data[[#This Row],[Product]],products[Product],products[Cost per unit])</f>
        <v>5.6</v>
      </c>
      <c r="I153" s="18">
        <f>Data[[#This Row],[Cost per unit]]*Data[[#This Row],[Units]]</f>
        <v>1142.3999999999999</v>
      </c>
    </row>
    <row r="154" spans="3:9" x14ac:dyDescent="0.3">
      <c r="C154" t="s">
        <v>7</v>
      </c>
      <c r="D154" t="s">
        <v>35</v>
      </c>
      <c r="E154" t="s">
        <v>27</v>
      </c>
      <c r="F154" s="14">
        <v>2478</v>
      </c>
      <c r="G154" s="3">
        <v>21</v>
      </c>
      <c r="H154" s="17">
        <f>_xlfn.XLOOKUP(Data[[#This Row],[Product]],products[Product],products[Cost per unit])</f>
        <v>16.73</v>
      </c>
      <c r="I154" s="18">
        <f>Data[[#This Row],[Cost per unit]]*Data[[#This Row],[Units]]</f>
        <v>351.33</v>
      </c>
    </row>
    <row r="155" spans="3:9" x14ac:dyDescent="0.3">
      <c r="C155" t="s">
        <v>41</v>
      </c>
      <c r="D155" t="s">
        <v>34</v>
      </c>
      <c r="E155" t="s">
        <v>33</v>
      </c>
      <c r="F155" s="14">
        <v>7847</v>
      </c>
      <c r="G155" s="3">
        <v>174</v>
      </c>
      <c r="H155" s="17">
        <f>_xlfn.XLOOKUP(Data[[#This Row],[Product]],products[Product],products[Cost per unit])</f>
        <v>12.37</v>
      </c>
      <c r="I155" s="18">
        <f>Data[[#This Row],[Cost per unit]]*Data[[#This Row],[Units]]</f>
        <v>2152.3799999999997</v>
      </c>
    </row>
    <row r="156" spans="3:9" x14ac:dyDescent="0.3">
      <c r="C156" t="s">
        <v>2</v>
      </c>
      <c r="D156" t="s">
        <v>37</v>
      </c>
      <c r="E156" t="s">
        <v>17</v>
      </c>
      <c r="F156" s="14">
        <v>9926</v>
      </c>
      <c r="G156" s="3">
        <v>201</v>
      </c>
      <c r="H156" s="17">
        <f>_xlfn.XLOOKUP(Data[[#This Row],[Product]],products[Product],products[Cost per unit])</f>
        <v>3.11</v>
      </c>
      <c r="I156" s="18">
        <f>Data[[#This Row],[Cost per unit]]*Data[[#This Row],[Units]]</f>
        <v>625.11</v>
      </c>
    </row>
    <row r="157" spans="3:9" x14ac:dyDescent="0.3">
      <c r="C157" t="s">
        <v>8</v>
      </c>
      <c r="D157" t="s">
        <v>38</v>
      </c>
      <c r="E157" t="s">
        <v>13</v>
      </c>
      <c r="F157" s="14">
        <v>819</v>
      </c>
      <c r="G157" s="3">
        <v>510</v>
      </c>
      <c r="H157" s="17">
        <f>_xlfn.XLOOKUP(Data[[#This Row],[Product]],products[Product],products[Cost per unit])</f>
        <v>9.33</v>
      </c>
      <c r="I157" s="18">
        <f>Data[[#This Row],[Cost per unit]]*Data[[#This Row],[Units]]</f>
        <v>4758.3</v>
      </c>
    </row>
    <row r="158" spans="3:9" x14ac:dyDescent="0.3">
      <c r="C158" t="s">
        <v>6</v>
      </c>
      <c r="D158" t="s">
        <v>39</v>
      </c>
      <c r="E158" t="s">
        <v>29</v>
      </c>
      <c r="F158" s="14">
        <v>3052</v>
      </c>
      <c r="G158" s="3">
        <v>378</v>
      </c>
      <c r="H158" s="17">
        <f>_xlfn.XLOOKUP(Data[[#This Row],[Product]],products[Product],products[Cost per unit])</f>
        <v>7.16</v>
      </c>
      <c r="I158" s="18">
        <f>Data[[#This Row],[Cost per unit]]*Data[[#This Row],[Units]]</f>
        <v>2706.48</v>
      </c>
    </row>
    <row r="159" spans="3:9" x14ac:dyDescent="0.3">
      <c r="C159" t="s">
        <v>9</v>
      </c>
      <c r="D159" t="s">
        <v>34</v>
      </c>
      <c r="E159" t="s">
        <v>21</v>
      </c>
      <c r="F159" s="14">
        <v>6832</v>
      </c>
      <c r="G159" s="3">
        <v>27</v>
      </c>
      <c r="H159" s="17">
        <f>_xlfn.XLOOKUP(Data[[#This Row],[Product]],products[Product],products[Cost per unit])</f>
        <v>9</v>
      </c>
      <c r="I159" s="18">
        <f>Data[[#This Row],[Cost per unit]]*Data[[#This Row],[Units]]</f>
        <v>243</v>
      </c>
    </row>
    <row r="160" spans="3:9" x14ac:dyDescent="0.3">
      <c r="C160" t="s">
        <v>2</v>
      </c>
      <c r="D160" t="s">
        <v>39</v>
      </c>
      <c r="E160" t="s">
        <v>16</v>
      </c>
      <c r="F160" s="14">
        <v>2016</v>
      </c>
      <c r="G160" s="3">
        <v>117</v>
      </c>
      <c r="H160" s="17">
        <f>_xlfn.XLOOKUP(Data[[#This Row],[Product]],products[Product],products[Cost per unit])</f>
        <v>8.7899999999999991</v>
      </c>
      <c r="I160" s="18">
        <f>Data[[#This Row],[Cost per unit]]*Data[[#This Row],[Units]]</f>
        <v>1028.4299999999998</v>
      </c>
    </row>
    <row r="161" spans="3:9" x14ac:dyDescent="0.3">
      <c r="C161" t="s">
        <v>6</v>
      </c>
      <c r="D161" t="s">
        <v>38</v>
      </c>
      <c r="E161" t="s">
        <v>21</v>
      </c>
      <c r="F161" s="14">
        <v>7322</v>
      </c>
      <c r="G161" s="3">
        <v>36</v>
      </c>
      <c r="H161" s="17">
        <f>_xlfn.XLOOKUP(Data[[#This Row],[Product]],products[Product],products[Cost per unit])</f>
        <v>9</v>
      </c>
      <c r="I161" s="18">
        <f>Data[[#This Row],[Cost per unit]]*Data[[#This Row],[Units]]</f>
        <v>324</v>
      </c>
    </row>
    <row r="162" spans="3:9" x14ac:dyDescent="0.3">
      <c r="C162" t="s">
        <v>8</v>
      </c>
      <c r="D162" t="s">
        <v>35</v>
      </c>
      <c r="E162" t="s">
        <v>33</v>
      </c>
      <c r="F162" s="14">
        <v>357</v>
      </c>
      <c r="G162" s="3">
        <v>126</v>
      </c>
      <c r="H162" s="17">
        <f>_xlfn.XLOOKUP(Data[[#This Row],[Product]],products[Product],products[Cost per unit])</f>
        <v>12.37</v>
      </c>
      <c r="I162" s="18">
        <f>Data[[#This Row],[Cost per unit]]*Data[[#This Row],[Units]]</f>
        <v>1558.62</v>
      </c>
    </row>
    <row r="163" spans="3:9" x14ac:dyDescent="0.3">
      <c r="C163" t="s">
        <v>9</v>
      </c>
      <c r="D163" t="s">
        <v>39</v>
      </c>
      <c r="E163" t="s">
        <v>25</v>
      </c>
      <c r="F163" s="14">
        <v>3192</v>
      </c>
      <c r="G163" s="3">
        <v>72</v>
      </c>
      <c r="H163" s="17">
        <f>_xlfn.XLOOKUP(Data[[#This Row],[Product]],products[Product],products[Cost per unit])</f>
        <v>13.15</v>
      </c>
      <c r="I163" s="18">
        <f>Data[[#This Row],[Cost per unit]]*Data[[#This Row],[Units]]</f>
        <v>946.80000000000007</v>
      </c>
    </row>
    <row r="164" spans="3:9" x14ac:dyDescent="0.3">
      <c r="C164" t="s">
        <v>7</v>
      </c>
      <c r="D164" t="s">
        <v>36</v>
      </c>
      <c r="E164" t="s">
        <v>22</v>
      </c>
      <c r="F164" s="14">
        <v>8435</v>
      </c>
      <c r="G164" s="3">
        <v>42</v>
      </c>
      <c r="H164" s="17">
        <f>_xlfn.XLOOKUP(Data[[#This Row],[Product]],products[Product],products[Cost per unit])</f>
        <v>9.77</v>
      </c>
      <c r="I164" s="18">
        <f>Data[[#This Row],[Cost per unit]]*Data[[#This Row],[Units]]</f>
        <v>410.34</v>
      </c>
    </row>
    <row r="165" spans="3:9" x14ac:dyDescent="0.3">
      <c r="C165" t="s">
        <v>40</v>
      </c>
      <c r="D165" t="s">
        <v>39</v>
      </c>
      <c r="E165" t="s">
        <v>29</v>
      </c>
      <c r="F165" s="14">
        <v>0</v>
      </c>
      <c r="G165" s="3">
        <v>135</v>
      </c>
      <c r="H165" s="17">
        <f>_xlfn.XLOOKUP(Data[[#This Row],[Product]],products[Product],products[Cost per unit])</f>
        <v>7.16</v>
      </c>
      <c r="I165" s="18">
        <f>Data[[#This Row],[Cost per unit]]*Data[[#This Row],[Units]]</f>
        <v>966.6</v>
      </c>
    </row>
    <row r="166" spans="3:9" x14ac:dyDescent="0.3">
      <c r="C166" t="s">
        <v>7</v>
      </c>
      <c r="D166" t="s">
        <v>34</v>
      </c>
      <c r="E166" t="s">
        <v>24</v>
      </c>
      <c r="F166" s="14">
        <v>8862</v>
      </c>
      <c r="G166" s="3">
        <v>189</v>
      </c>
      <c r="H166" s="17">
        <f>_xlfn.XLOOKUP(Data[[#This Row],[Product]],products[Product],products[Cost per unit])</f>
        <v>4.97</v>
      </c>
      <c r="I166" s="18">
        <f>Data[[#This Row],[Cost per unit]]*Data[[#This Row],[Units]]</f>
        <v>939.32999999999993</v>
      </c>
    </row>
    <row r="167" spans="3:9" x14ac:dyDescent="0.3">
      <c r="C167" t="s">
        <v>6</v>
      </c>
      <c r="D167" t="s">
        <v>37</v>
      </c>
      <c r="E167" t="s">
        <v>28</v>
      </c>
      <c r="F167" s="14">
        <v>3556</v>
      </c>
      <c r="G167" s="3">
        <v>459</v>
      </c>
      <c r="H167" s="17">
        <f>_xlfn.XLOOKUP(Data[[#This Row],[Product]],products[Product],products[Cost per unit])</f>
        <v>10.38</v>
      </c>
      <c r="I167" s="18">
        <f>Data[[#This Row],[Cost per unit]]*Data[[#This Row],[Units]]</f>
        <v>4764.42</v>
      </c>
    </row>
    <row r="168" spans="3:9" x14ac:dyDescent="0.3">
      <c r="C168" t="s">
        <v>5</v>
      </c>
      <c r="D168" t="s">
        <v>34</v>
      </c>
      <c r="E168" t="s">
        <v>15</v>
      </c>
      <c r="F168" s="14">
        <v>7280</v>
      </c>
      <c r="G168" s="3">
        <v>201</v>
      </c>
      <c r="H168" s="17">
        <f>_xlfn.XLOOKUP(Data[[#This Row],[Product]],products[Product],products[Cost per unit])</f>
        <v>11.73</v>
      </c>
      <c r="I168" s="18">
        <f>Data[[#This Row],[Cost per unit]]*Data[[#This Row],[Units]]</f>
        <v>2357.73</v>
      </c>
    </row>
    <row r="169" spans="3:9" x14ac:dyDescent="0.3">
      <c r="C169" t="s">
        <v>6</v>
      </c>
      <c r="D169" t="s">
        <v>34</v>
      </c>
      <c r="E169" t="s">
        <v>30</v>
      </c>
      <c r="F169" s="14">
        <v>3402</v>
      </c>
      <c r="G169" s="3">
        <v>366</v>
      </c>
      <c r="H169" s="17">
        <f>_xlfn.XLOOKUP(Data[[#This Row],[Product]],products[Product],products[Cost per unit])</f>
        <v>14.49</v>
      </c>
      <c r="I169" s="18">
        <f>Data[[#This Row],[Cost per unit]]*Data[[#This Row],[Units]]</f>
        <v>5303.34</v>
      </c>
    </row>
    <row r="170" spans="3:9" x14ac:dyDescent="0.3">
      <c r="C170" t="s">
        <v>3</v>
      </c>
      <c r="D170" t="s">
        <v>37</v>
      </c>
      <c r="E170" t="s">
        <v>29</v>
      </c>
      <c r="F170" s="14">
        <v>4592</v>
      </c>
      <c r="G170" s="3">
        <v>324</v>
      </c>
      <c r="H170" s="17">
        <f>_xlfn.XLOOKUP(Data[[#This Row],[Product]],products[Product],products[Cost per unit])</f>
        <v>7.16</v>
      </c>
      <c r="I170" s="18">
        <f>Data[[#This Row],[Cost per unit]]*Data[[#This Row],[Units]]</f>
        <v>2319.84</v>
      </c>
    </row>
    <row r="171" spans="3:9" x14ac:dyDescent="0.3">
      <c r="C171" t="s">
        <v>9</v>
      </c>
      <c r="D171" t="s">
        <v>35</v>
      </c>
      <c r="E171" t="s">
        <v>15</v>
      </c>
      <c r="F171" s="14">
        <v>7833</v>
      </c>
      <c r="G171" s="3">
        <v>243</v>
      </c>
      <c r="H171" s="17">
        <f>_xlfn.XLOOKUP(Data[[#This Row],[Product]],products[Product],products[Cost per unit])</f>
        <v>11.73</v>
      </c>
      <c r="I171" s="18">
        <f>Data[[#This Row],[Cost per unit]]*Data[[#This Row],[Units]]</f>
        <v>2850.3900000000003</v>
      </c>
    </row>
    <row r="172" spans="3:9" x14ac:dyDescent="0.3">
      <c r="C172" t="s">
        <v>2</v>
      </c>
      <c r="D172" t="s">
        <v>39</v>
      </c>
      <c r="E172" t="s">
        <v>21</v>
      </c>
      <c r="F172" s="14">
        <v>7651</v>
      </c>
      <c r="G172" s="3">
        <v>213</v>
      </c>
      <c r="H172" s="17">
        <f>_xlfn.XLOOKUP(Data[[#This Row],[Product]],products[Product],products[Cost per unit])</f>
        <v>9</v>
      </c>
      <c r="I172" s="18">
        <f>Data[[#This Row],[Cost per unit]]*Data[[#This Row],[Units]]</f>
        <v>1917</v>
      </c>
    </row>
    <row r="173" spans="3:9" x14ac:dyDescent="0.3">
      <c r="C173" t="s">
        <v>40</v>
      </c>
      <c r="D173" t="s">
        <v>35</v>
      </c>
      <c r="E173" t="s">
        <v>30</v>
      </c>
      <c r="F173" s="14">
        <v>2275</v>
      </c>
      <c r="G173" s="3">
        <v>447</v>
      </c>
      <c r="H173" s="17">
        <f>_xlfn.XLOOKUP(Data[[#This Row],[Product]],products[Product],products[Cost per unit])</f>
        <v>14.49</v>
      </c>
      <c r="I173" s="18">
        <f>Data[[#This Row],[Cost per unit]]*Data[[#This Row],[Units]]</f>
        <v>6477.03</v>
      </c>
    </row>
    <row r="174" spans="3:9" x14ac:dyDescent="0.3">
      <c r="C174" t="s">
        <v>40</v>
      </c>
      <c r="D174" t="s">
        <v>38</v>
      </c>
      <c r="E174" t="s">
        <v>13</v>
      </c>
      <c r="F174" s="14">
        <v>5670</v>
      </c>
      <c r="G174" s="3">
        <v>297</v>
      </c>
      <c r="H174" s="17">
        <f>_xlfn.XLOOKUP(Data[[#This Row],[Product]],products[Product],products[Cost per unit])</f>
        <v>9.33</v>
      </c>
      <c r="I174" s="18">
        <f>Data[[#This Row],[Cost per unit]]*Data[[#This Row],[Units]]</f>
        <v>2771.01</v>
      </c>
    </row>
    <row r="175" spans="3:9" x14ac:dyDescent="0.3">
      <c r="C175" t="s">
        <v>7</v>
      </c>
      <c r="D175" t="s">
        <v>35</v>
      </c>
      <c r="E175" t="s">
        <v>16</v>
      </c>
      <c r="F175" s="14">
        <v>2135</v>
      </c>
      <c r="G175" s="3">
        <v>27</v>
      </c>
      <c r="H175" s="17">
        <f>_xlfn.XLOOKUP(Data[[#This Row],[Product]],products[Product],products[Cost per unit])</f>
        <v>8.7899999999999991</v>
      </c>
      <c r="I175" s="18">
        <f>Data[[#This Row],[Cost per unit]]*Data[[#This Row],[Units]]</f>
        <v>237.32999999999998</v>
      </c>
    </row>
    <row r="176" spans="3:9" x14ac:dyDescent="0.3">
      <c r="C176" t="s">
        <v>40</v>
      </c>
      <c r="D176" t="s">
        <v>34</v>
      </c>
      <c r="E176" t="s">
        <v>23</v>
      </c>
      <c r="F176" s="14">
        <v>2779</v>
      </c>
      <c r="G176" s="3">
        <v>75</v>
      </c>
      <c r="H176" s="17">
        <f>_xlfn.XLOOKUP(Data[[#This Row],[Product]],products[Product],products[Cost per unit])</f>
        <v>6.49</v>
      </c>
      <c r="I176" s="18">
        <f>Data[[#This Row],[Cost per unit]]*Data[[#This Row],[Units]]</f>
        <v>486.75</v>
      </c>
    </row>
    <row r="177" spans="3:9" x14ac:dyDescent="0.3">
      <c r="C177" t="s">
        <v>10</v>
      </c>
      <c r="D177" t="s">
        <v>39</v>
      </c>
      <c r="E177" t="s">
        <v>33</v>
      </c>
      <c r="F177" s="14">
        <v>12950</v>
      </c>
      <c r="G177" s="3">
        <v>30</v>
      </c>
      <c r="H177" s="17">
        <f>_xlfn.XLOOKUP(Data[[#This Row],[Product]],products[Product],products[Cost per unit])</f>
        <v>12.37</v>
      </c>
      <c r="I177" s="18">
        <f>Data[[#This Row],[Cost per unit]]*Data[[#This Row],[Units]]</f>
        <v>371.09999999999997</v>
      </c>
    </row>
    <row r="178" spans="3:9" x14ac:dyDescent="0.3">
      <c r="C178" t="s">
        <v>7</v>
      </c>
      <c r="D178" t="s">
        <v>36</v>
      </c>
      <c r="E178" t="s">
        <v>18</v>
      </c>
      <c r="F178" s="14">
        <v>2646</v>
      </c>
      <c r="G178" s="3">
        <v>177</v>
      </c>
      <c r="H178" s="17">
        <f>_xlfn.XLOOKUP(Data[[#This Row],[Product]],products[Product],products[Cost per unit])</f>
        <v>6.47</v>
      </c>
      <c r="I178" s="18">
        <f>Data[[#This Row],[Cost per unit]]*Data[[#This Row],[Units]]</f>
        <v>1145.19</v>
      </c>
    </row>
    <row r="179" spans="3:9" x14ac:dyDescent="0.3">
      <c r="C179" t="s">
        <v>40</v>
      </c>
      <c r="D179" t="s">
        <v>34</v>
      </c>
      <c r="E179" t="s">
        <v>33</v>
      </c>
      <c r="F179" s="14">
        <v>3794</v>
      </c>
      <c r="G179" s="3">
        <v>159</v>
      </c>
      <c r="H179" s="17">
        <f>_xlfn.XLOOKUP(Data[[#This Row],[Product]],products[Product],products[Cost per unit])</f>
        <v>12.37</v>
      </c>
      <c r="I179" s="18">
        <f>Data[[#This Row],[Cost per unit]]*Data[[#This Row],[Units]]</f>
        <v>1966.83</v>
      </c>
    </row>
    <row r="180" spans="3:9" x14ac:dyDescent="0.3">
      <c r="C180" t="s">
        <v>3</v>
      </c>
      <c r="D180" t="s">
        <v>35</v>
      </c>
      <c r="E180" t="s">
        <v>33</v>
      </c>
      <c r="F180" s="14">
        <v>819</v>
      </c>
      <c r="G180" s="3">
        <v>306</v>
      </c>
      <c r="H180" s="17">
        <f>_xlfn.XLOOKUP(Data[[#This Row],[Product]],products[Product],products[Cost per unit])</f>
        <v>12.37</v>
      </c>
      <c r="I180" s="18">
        <f>Data[[#This Row],[Cost per unit]]*Data[[#This Row],[Units]]</f>
        <v>3785.22</v>
      </c>
    </row>
    <row r="181" spans="3:9" x14ac:dyDescent="0.3">
      <c r="C181" t="s">
        <v>3</v>
      </c>
      <c r="D181" t="s">
        <v>34</v>
      </c>
      <c r="E181" t="s">
        <v>20</v>
      </c>
      <c r="F181" s="14">
        <v>2583</v>
      </c>
      <c r="G181" s="3">
        <v>18</v>
      </c>
      <c r="H181" s="17">
        <f>_xlfn.XLOOKUP(Data[[#This Row],[Product]],products[Product],products[Cost per unit])</f>
        <v>10.62</v>
      </c>
      <c r="I181" s="18">
        <f>Data[[#This Row],[Cost per unit]]*Data[[#This Row],[Units]]</f>
        <v>191.16</v>
      </c>
    </row>
    <row r="182" spans="3:9" x14ac:dyDescent="0.3">
      <c r="C182" t="s">
        <v>7</v>
      </c>
      <c r="D182" t="s">
        <v>35</v>
      </c>
      <c r="E182" t="s">
        <v>19</v>
      </c>
      <c r="F182" s="14">
        <v>4585</v>
      </c>
      <c r="G182" s="3">
        <v>240</v>
      </c>
      <c r="H182" s="17">
        <f>_xlfn.XLOOKUP(Data[[#This Row],[Product]],products[Product],products[Cost per unit])</f>
        <v>7.64</v>
      </c>
      <c r="I182" s="18">
        <f>Data[[#This Row],[Cost per unit]]*Data[[#This Row],[Units]]</f>
        <v>1833.6</v>
      </c>
    </row>
    <row r="183" spans="3:9" x14ac:dyDescent="0.3">
      <c r="C183" t="s">
        <v>5</v>
      </c>
      <c r="D183" t="s">
        <v>34</v>
      </c>
      <c r="E183" t="s">
        <v>33</v>
      </c>
      <c r="F183" s="14">
        <v>1652</v>
      </c>
      <c r="G183" s="3">
        <v>93</v>
      </c>
      <c r="H183" s="17">
        <f>_xlfn.XLOOKUP(Data[[#This Row],[Product]],products[Product],products[Cost per unit])</f>
        <v>12.37</v>
      </c>
      <c r="I183" s="18">
        <f>Data[[#This Row],[Cost per unit]]*Data[[#This Row],[Units]]</f>
        <v>1150.4099999999999</v>
      </c>
    </row>
    <row r="184" spans="3:9" x14ac:dyDescent="0.3">
      <c r="C184" t="s">
        <v>10</v>
      </c>
      <c r="D184" t="s">
        <v>34</v>
      </c>
      <c r="E184" t="s">
        <v>26</v>
      </c>
      <c r="F184" s="14">
        <v>4991</v>
      </c>
      <c r="G184" s="3">
        <v>9</v>
      </c>
      <c r="H184" s="17">
        <f>_xlfn.XLOOKUP(Data[[#This Row],[Product]],products[Product],products[Cost per unit])</f>
        <v>5.6</v>
      </c>
      <c r="I184" s="18">
        <f>Data[[#This Row],[Cost per unit]]*Data[[#This Row],[Units]]</f>
        <v>50.4</v>
      </c>
    </row>
    <row r="185" spans="3:9" x14ac:dyDescent="0.3">
      <c r="C185" t="s">
        <v>8</v>
      </c>
      <c r="D185" t="s">
        <v>34</v>
      </c>
      <c r="E185" t="s">
        <v>16</v>
      </c>
      <c r="F185" s="14">
        <v>2009</v>
      </c>
      <c r="G185" s="3">
        <v>219</v>
      </c>
      <c r="H185" s="17">
        <f>_xlfn.XLOOKUP(Data[[#This Row],[Product]],products[Product],products[Cost per unit])</f>
        <v>8.7899999999999991</v>
      </c>
      <c r="I185" s="18">
        <f>Data[[#This Row],[Cost per unit]]*Data[[#This Row],[Units]]</f>
        <v>1925.0099999999998</v>
      </c>
    </row>
    <row r="186" spans="3:9" x14ac:dyDescent="0.3">
      <c r="C186" t="s">
        <v>2</v>
      </c>
      <c r="D186" t="s">
        <v>39</v>
      </c>
      <c r="E186" t="s">
        <v>22</v>
      </c>
      <c r="F186" s="14">
        <v>1568</v>
      </c>
      <c r="G186" s="3">
        <v>141</v>
      </c>
      <c r="H186" s="17">
        <f>_xlfn.XLOOKUP(Data[[#This Row],[Product]],products[Product],products[Cost per unit])</f>
        <v>9.77</v>
      </c>
      <c r="I186" s="18">
        <f>Data[[#This Row],[Cost per unit]]*Data[[#This Row],[Units]]</f>
        <v>1377.57</v>
      </c>
    </row>
    <row r="187" spans="3:9" x14ac:dyDescent="0.3">
      <c r="C187" t="s">
        <v>41</v>
      </c>
      <c r="D187" t="s">
        <v>37</v>
      </c>
      <c r="E187" t="s">
        <v>20</v>
      </c>
      <c r="F187" s="14">
        <v>3388</v>
      </c>
      <c r="G187" s="3">
        <v>123</v>
      </c>
      <c r="H187" s="17">
        <f>_xlfn.XLOOKUP(Data[[#This Row],[Product]],products[Product],products[Cost per unit])</f>
        <v>10.62</v>
      </c>
      <c r="I187" s="18">
        <f>Data[[#This Row],[Cost per unit]]*Data[[#This Row],[Units]]</f>
        <v>1306.26</v>
      </c>
    </row>
    <row r="188" spans="3:9" x14ac:dyDescent="0.3">
      <c r="C188" t="s">
        <v>40</v>
      </c>
      <c r="D188" t="s">
        <v>38</v>
      </c>
      <c r="E188" t="s">
        <v>24</v>
      </c>
      <c r="F188" s="14">
        <v>623</v>
      </c>
      <c r="G188" s="3">
        <v>51</v>
      </c>
      <c r="H188" s="17">
        <f>_xlfn.XLOOKUP(Data[[#This Row],[Product]],products[Product],products[Cost per unit])</f>
        <v>4.97</v>
      </c>
      <c r="I188" s="18">
        <f>Data[[#This Row],[Cost per unit]]*Data[[#This Row],[Units]]</f>
        <v>253.47</v>
      </c>
    </row>
    <row r="189" spans="3:9" x14ac:dyDescent="0.3">
      <c r="C189" t="s">
        <v>6</v>
      </c>
      <c r="D189" t="s">
        <v>36</v>
      </c>
      <c r="E189" t="s">
        <v>4</v>
      </c>
      <c r="F189" s="14">
        <v>10073</v>
      </c>
      <c r="G189" s="3">
        <v>120</v>
      </c>
      <c r="H189" s="17">
        <f>_xlfn.XLOOKUP(Data[[#This Row],[Product]],products[Product],products[Cost per unit])</f>
        <v>11.88</v>
      </c>
      <c r="I189" s="18">
        <f>Data[[#This Row],[Cost per unit]]*Data[[#This Row],[Units]]</f>
        <v>1425.6000000000001</v>
      </c>
    </row>
    <row r="190" spans="3:9" x14ac:dyDescent="0.3">
      <c r="C190" t="s">
        <v>8</v>
      </c>
      <c r="D190" t="s">
        <v>39</v>
      </c>
      <c r="E190" t="s">
        <v>26</v>
      </c>
      <c r="F190" s="14">
        <v>1561</v>
      </c>
      <c r="G190" s="3">
        <v>27</v>
      </c>
      <c r="H190" s="17">
        <f>_xlfn.XLOOKUP(Data[[#This Row],[Product]],products[Product],products[Cost per unit])</f>
        <v>5.6</v>
      </c>
      <c r="I190" s="18">
        <f>Data[[#This Row],[Cost per unit]]*Data[[#This Row],[Units]]</f>
        <v>151.19999999999999</v>
      </c>
    </row>
    <row r="191" spans="3:9" x14ac:dyDescent="0.3">
      <c r="C191" t="s">
        <v>9</v>
      </c>
      <c r="D191" t="s">
        <v>36</v>
      </c>
      <c r="E191" t="s">
        <v>27</v>
      </c>
      <c r="F191" s="14">
        <v>11522</v>
      </c>
      <c r="G191" s="3">
        <v>204</v>
      </c>
      <c r="H191" s="17">
        <f>_xlfn.XLOOKUP(Data[[#This Row],[Product]],products[Product],products[Cost per unit])</f>
        <v>16.73</v>
      </c>
      <c r="I191" s="18">
        <f>Data[[#This Row],[Cost per unit]]*Data[[#This Row],[Units]]</f>
        <v>3412.92</v>
      </c>
    </row>
    <row r="192" spans="3:9" x14ac:dyDescent="0.3">
      <c r="C192" t="s">
        <v>6</v>
      </c>
      <c r="D192" t="s">
        <v>38</v>
      </c>
      <c r="E192" t="s">
        <v>13</v>
      </c>
      <c r="F192" s="14">
        <v>2317</v>
      </c>
      <c r="G192" s="3">
        <v>123</v>
      </c>
      <c r="H192" s="17">
        <f>_xlfn.XLOOKUP(Data[[#This Row],[Product]],products[Product],products[Cost per unit])</f>
        <v>9.33</v>
      </c>
      <c r="I192" s="18">
        <f>Data[[#This Row],[Cost per unit]]*Data[[#This Row],[Units]]</f>
        <v>1147.5899999999999</v>
      </c>
    </row>
    <row r="193" spans="3:9" x14ac:dyDescent="0.3">
      <c r="C193" t="s">
        <v>10</v>
      </c>
      <c r="D193" t="s">
        <v>37</v>
      </c>
      <c r="E193" t="s">
        <v>28</v>
      </c>
      <c r="F193" s="14">
        <v>3059</v>
      </c>
      <c r="G193" s="3">
        <v>27</v>
      </c>
      <c r="H193" s="17">
        <f>_xlfn.XLOOKUP(Data[[#This Row],[Product]],products[Product],products[Cost per unit])</f>
        <v>10.38</v>
      </c>
      <c r="I193" s="18">
        <f>Data[[#This Row],[Cost per unit]]*Data[[#This Row],[Units]]</f>
        <v>280.26000000000005</v>
      </c>
    </row>
    <row r="194" spans="3:9" x14ac:dyDescent="0.3">
      <c r="C194" t="s">
        <v>41</v>
      </c>
      <c r="D194" t="s">
        <v>37</v>
      </c>
      <c r="E194" t="s">
        <v>26</v>
      </c>
      <c r="F194" s="14">
        <v>2324</v>
      </c>
      <c r="G194" s="3">
        <v>177</v>
      </c>
      <c r="H194" s="17">
        <f>_xlfn.XLOOKUP(Data[[#This Row],[Product]],products[Product],products[Cost per unit])</f>
        <v>5.6</v>
      </c>
      <c r="I194" s="18">
        <f>Data[[#This Row],[Cost per unit]]*Data[[#This Row],[Units]]</f>
        <v>991.19999999999993</v>
      </c>
    </row>
    <row r="195" spans="3:9" x14ac:dyDescent="0.3">
      <c r="C195" t="s">
        <v>3</v>
      </c>
      <c r="D195" t="s">
        <v>39</v>
      </c>
      <c r="E195" t="s">
        <v>26</v>
      </c>
      <c r="F195" s="14">
        <v>4956</v>
      </c>
      <c r="G195" s="3">
        <v>171</v>
      </c>
      <c r="H195" s="17">
        <f>_xlfn.XLOOKUP(Data[[#This Row],[Product]],products[Product],products[Cost per unit])</f>
        <v>5.6</v>
      </c>
      <c r="I195" s="18">
        <f>Data[[#This Row],[Cost per unit]]*Data[[#This Row],[Units]]</f>
        <v>957.59999999999991</v>
      </c>
    </row>
    <row r="196" spans="3:9" x14ac:dyDescent="0.3">
      <c r="C196" t="s">
        <v>10</v>
      </c>
      <c r="D196" t="s">
        <v>34</v>
      </c>
      <c r="E196" t="s">
        <v>19</v>
      </c>
      <c r="F196" s="14">
        <v>5355</v>
      </c>
      <c r="G196" s="3">
        <v>204</v>
      </c>
      <c r="H196" s="17">
        <f>_xlfn.XLOOKUP(Data[[#This Row],[Product]],products[Product],products[Cost per unit])</f>
        <v>7.64</v>
      </c>
      <c r="I196" s="18">
        <f>Data[[#This Row],[Cost per unit]]*Data[[#This Row],[Units]]</f>
        <v>1558.56</v>
      </c>
    </row>
    <row r="197" spans="3:9" x14ac:dyDescent="0.3">
      <c r="C197" t="s">
        <v>3</v>
      </c>
      <c r="D197" t="s">
        <v>34</v>
      </c>
      <c r="E197" t="s">
        <v>14</v>
      </c>
      <c r="F197" s="14">
        <v>7259</v>
      </c>
      <c r="G197" s="3">
        <v>276</v>
      </c>
      <c r="H197" s="17">
        <f>_xlfn.XLOOKUP(Data[[#This Row],[Product]],products[Product],products[Cost per unit])</f>
        <v>11.7</v>
      </c>
      <c r="I197" s="18">
        <f>Data[[#This Row],[Cost per unit]]*Data[[#This Row],[Units]]</f>
        <v>3229.2</v>
      </c>
    </row>
    <row r="198" spans="3:9" x14ac:dyDescent="0.3">
      <c r="C198" t="s">
        <v>8</v>
      </c>
      <c r="D198" t="s">
        <v>37</v>
      </c>
      <c r="E198" t="s">
        <v>26</v>
      </c>
      <c r="F198" s="14">
        <v>6279</v>
      </c>
      <c r="G198" s="3">
        <v>45</v>
      </c>
      <c r="H198" s="17">
        <f>_xlfn.XLOOKUP(Data[[#This Row],[Product]],products[Product],products[Cost per unit])</f>
        <v>5.6</v>
      </c>
      <c r="I198" s="18">
        <f>Data[[#This Row],[Cost per unit]]*Data[[#This Row],[Units]]</f>
        <v>251.99999999999997</v>
      </c>
    </row>
    <row r="199" spans="3:9" x14ac:dyDescent="0.3">
      <c r="C199" t="s">
        <v>40</v>
      </c>
      <c r="D199" t="s">
        <v>38</v>
      </c>
      <c r="E199" t="s">
        <v>29</v>
      </c>
      <c r="F199" s="14">
        <v>2541</v>
      </c>
      <c r="G199" s="3">
        <v>45</v>
      </c>
      <c r="H199" s="17">
        <f>_xlfn.XLOOKUP(Data[[#This Row],[Product]],products[Product],products[Cost per unit])</f>
        <v>7.16</v>
      </c>
      <c r="I199" s="18">
        <f>Data[[#This Row],[Cost per unit]]*Data[[#This Row],[Units]]</f>
        <v>322.2</v>
      </c>
    </row>
    <row r="200" spans="3:9" x14ac:dyDescent="0.3">
      <c r="C200" t="s">
        <v>6</v>
      </c>
      <c r="D200" t="s">
        <v>35</v>
      </c>
      <c r="E200" t="s">
        <v>27</v>
      </c>
      <c r="F200" s="14">
        <v>3864</v>
      </c>
      <c r="G200" s="3">
        <v>177</v>
      </c>
      <c r="H200" s="17">
        <f>_xlfn.XLOOKUP(Data[[#This Row],[Product]],products[Product],products[Cost per unit])</f>
        <v>16.73</v>
      </c>
      <c r="I200" s="18">
        <f>Data[[#This Row],[Cost per unit]]*Data[[#This Row],[Units]]</f>
        <v>2961.21</v>
      </c>
    </row>
    <row r="201" spans="3:9" x14ac:dyDescent="0.3">
      <c r="C201" t="s">
        <v>5</v>
      </c>
      <c r="D201" t="s">
        <v>36</v>
      </c>
      <c r="E201" t="s">
        <v>13</v>
      </c>
      <c r="F201" s="14">
        <v>6146</v>
      </c>
      <c r="G201" s="3">
        <v>63</v>
      </c>
      <c r="H201" s="17">
        <f>_xlfn.XLOOKUP(Data[[#This Row],[Product]],products[Product],products[Cost per unit])</f>
        <v>9.33</v>
      </c>
      <c r="I201" s="18">
        <f>Data[[#This Row],[Cost per unit]]*Data[[#This Row],[Units]]</f>
        <v>587.79</v>
      </c>
    </row>
    <row r="202" spans="3:9" x14ac:dyDescent="0.3">
      <c r="C202" t="s">
        <v>9</v>
      </c>
      <c r="D202" t="s">
        <v>39</v>
      </c>
      <c r="E202" t="s">
        <v>18</v>
      </c>
      <c r="F202" s="14">
        <v>2639</v>
      </c>
      <c r="G202" s="3">
        <v>204</v>
      </c>
      <c r="H202" s="17">
        <f>_xlfn.XLOOKUP(Data[[#This Row],[Product]],products[Product],products[Cost per unit])</f>
        <v>6.47</v>
      </c>
      <c r="I202" s="18">
        <f>Data[[#This Row],[Cost per unit]]*Data[[#This Row],[Units]]</f>
        <v>1319.8799999999999</v>
      </c>
    </row>
    <row r="203" spans="3:9" x14ac:dyDescent="0.3">
      <c r="C203" t="s">
        <v>8</v>
      </c>
      <c r="D203" t="s">
        <v>37</v>
      </c>
      <c r="E203" t="s">
        <v>22</v>
      </c>
      <c r="F203" s="14">
        <v>1890</v>
      </c>
      <c r="G203" s="3">
        <v>195</v>
      </c>
      <c r="H203" s="17">
        <f>_xlfn.XLOOKUP(Data[[#This Row],[Product]],products[Product],products[Cost per unit])</f>
        <v>9.77</v>
      </c>
      <c r="I203" s="18">
        <f>Data[[#This Row],[Cost per unit]]*Data[[#This Row],[Units]]</f>
        <v>1905.1499999999999</v>
      </c>
    </row>
    <row r="204" spans="3:9" x14ac:dyDescent="0.3">
      <c r="C204" t="s">
        <v>7</v>
      </c>
      <c r="D204" t="s">
        <v>34</v>
      </c>
      <c r="E204" t="s">
        <v>14</v>
      </c>
      <c r="F204" s="14">
        <v>1932</v>
      </c>
      <c r="G204" s="3">
        <v>369</v>
      </c>
      <c r="H204" s="17">
        <f>_xlfn.XLOOKUP(Data[[#This Row],[Product]],products[Product],products[Cost per unit])</f>
        <v>11.7</v>
      </c>
      <c r="I204" s="18">
        <f>Data[[#This Row],[Cost per unit]]*Data[[#This Row],[Units]]</f>
        <v>4317.3</v>
      </c>
    </row>
    <row r="205" spans="3:9" x14ac:dyDescent="0.3">
      <c r="C205" t="s">
        <v>3</v>
      </c>
      <c r="D205" t="s">
        <v>34</v>
      </c>
      <c r="E205" t="s">
        <v>25</v>
      </c>
      <c r="F205" s="14">
        <v>6300</v>
      </c>
      <c r="G205" s="3">
        <v>42</v>
      </c>
      <c r="H205" s="17">
        <f>_xlfn.XLOOKUP(Data[[#This Row],[Product]],products[Product],products[Cost per unit])</f>
        <v>13.15</v>
      </c>
      <c r="I205" s="18">
        <f>Data[[#This Row],[Cost per unit]]*Data[[#This Row],[Units]]</f>
        <v>552.30000000000007</v>
      </c>
    </row>
    <row r="206" spans="3:9" x14ac:dyDescent="0.3">
      <c r="C206" t="s">
        <v>6</v>
      </c>
      <c r="D206" t="s">
        <v>37</v>
      </c>
      <c r="E206" t="s">
        <v>30</v>
      </c>
      <c r="F206" s="14">
        <v>560</v>
      </c>
      <c r="G206" s="3">
        <v>81</v>
      </c>
      <c r="H206" s="17">
        <f>_xlfn.XLOOKUP(Data[[#This Row],[Product]],products[Product],products[Cost per unit])</f>
        <v>14.49</v>
      </c>
      <c r="I206" s="18">
        <f>Data[[#This Row],[Cost per unit]]*Data[[#This Row],[Units]]</f>
        <v>1173.69</v>
      </c>
    </row>
    <row r="207" spans="3:9" x14ac:dyDescent="0.3">
      <c r="C207" t="s">
        <v>9</v>
      </c>
      <c r="D207" t="s">
        <v>37</v>
      </c>
      <c r="E207" t="s">
        <v>26</v>
      </c>
      <c r="F207" s="14">
        <v>2856</v>
      </c>
      <c r="G207" s="3">
        <v>246</v>
      </c>
      <c r="H207" s="17">
        <f>_xlfn.XLOOKUP(Data[[#This Row],[Product]],products[Product],products[Cost per unit])</f>
        <v>5.6</v>
      </c>
      <c r="I207" s="18">
        <f>Data[[#This Row],[Cost per unit]]*Data[[#This Row],[Units]]</f>
        <v>1377.6</v>
      </c>
    </row>
    <row r="208" spans="3:9" x14ac:dyDescent="0.3">
      <c r="C208" t="s">
        <v>9</v>
      </c>
      <c r="D208" t="s">
        <v>34</v>
      </c>
      <c r="E208" t="s">
        <v>17</v>
      </c>
      <c r="F208" s="14">
        <v>707</v>
      </c>
      <c r="G208" s="3">
        <v>174</v>
      </c>
      <c r="H208" s="17">
        <f>_xlfn.XLOOKUP(Data[[#This Row],[Product]],products[Product],products[Cost per unit])</f>
        <v>3.11</v>
      </c>
      <c r="I208" s="18">
        <f>Data[[#This Row],[Cost per unit]]*Data[[#This Row],[Units]]</f>
        <v>541.14</v>
      </c>
    </row>
    <row r="209" spans="3:9" x14ac:dyDescent="0.3">
      <c r="C209" t="s">
        <v>8</v>
      </c>
      <c r="D209" t="s">
        <v>35</v>
      </c>
      <c r="E209" t="s">
        <v>30</v>
      </c>
      <c r="F209" s="14">
        <v>3598</v>
      </c>
      <c r="G209" s="3">
        <v>81</v>
      </c>
      <c r="H209" s="17">
        <f>_xlfn.XLOOKUP(Data[[#This Row],[Product]],products[Product],products[Cost per unit])</f>
        <v>14.49</v>
      </c>
      <c r="I209" s="18">
        <f>Data[[#This Row],[Cost per unit]]*Data[[#This Row],[Units]]</f>
        <v>1173.69</v>
      </c>
    </row>
    <row r="210" spans="3:9" x14ac:dyDescent="0.3">
      <c r="C210" t="s">
        <v>40</v>
      </c>
      <c r="D210" t="s">
        <v>35</v>
      </c>
      <c r="E210" t="s">
        <v>22</v>
      </c>
      <c r="F210" s="14">
        <v>6853</v>
      </c>
      <c r="G210" s="3">
        <v>372</v>
      </c>
      <c r="H210" s="17">
        <f>_xlfn.XLOOKUP(Data[[#This Row],[Product]],products[Product],products[Cost per unit])</f>
        <v>9.77</v>
      </c>
      <c r="I210" s="18">
        <f>Data[[#This Row],[Cost per unit]]*Data[[#This Row],[Units]]</f>
        <v>3634.44</v>
      </c>
    </row>
    <row r="211" spans="3:9" x14ac:dyDescent="0.3">
      <c r="C211" t="s">
        <v>40</v>
      </c>
      <c r="D211" t="s">
        <v>35</v>
      </c>
      <c r="E211" t="s">
        <v>16</v>
      </c>
      <c r="F211" s="14">
        <v>4725</v>
      </c>
      <c r="G211" s="3">
        <v>174</v>
      </c>
      <c r="H211" s="17">
        <f>_xlfn.XLOOKUP(Data[[#This Row],[Product]],products[Product],products[Cost per unit])</f>
        <v>8.7899999999999991</v>
      </c>
      <c r="I211" s="18">
        <f>Data[[#This Row],[Cost per unit]]*Data[[#This Row],[Units]]</f>
        <v>1529.4599999999998</v>
      </c>
    </row>
    <row r="212" spans="3:9" x14ac:dyDescent="0.3">
      <c r="C212" t="s">
        <v>41</v>
      </c>
      <c r="D212" t="s">
        <v>36</v>
      </c>
      <c r="E212" t="s">
        <v>32</v>
      </c>
      <c r="F212" s="14">
        <v>10304</v>
      </c>
      <c r="G212" s="3">
        <v>84</v>
      </c>
      <c r="H212" s="17">
        <f>_xlfn.XLOOKUP(Data[[#This Row],[Product]],products[Product],products[Cost per unit])</f>
        <v>8.65</v>
      </c>
      <c r="I212" s="18">
        <f>Data[[#This Row],[Cost per unit]]*Data[[#This Row],[Units]]</f>
        <v>726.6</v>
      </c>
    </row>
    <row r="213" spans="3:9" x14ac:dyDescent="0.3">
      <c r="C213" t="s">
        <v>41</v>
      </c>
      <c r="D213" t="s">
        <v>34</v>
      </c>
      <c r="E213" t="s">
        <v>16</v>
      </c>
      <c r="F213" s="14">
        <v>1274</v>
      </c>
      <c r="G213" s="3">
        <v>225</v>
      </c>
      <c r="H213" s="17">
        <f>_xlfn.XLOOKUP(Data[[#This Row],[Product]],products[Product],products[Cost per unit])</f>
        <v>8.7899999999999991</v>
      </c>
      <c r="I213" s="18">
        <f>Data[[#This Row],[Cost per unit]]*Data[[#This Row],[Units]]</f>
        <v>1977.7499999999998</v>
      </c>
    </row>
    <row r="214" spans="3:9" x14ac:dyDescent="0.3">
      <c r="C214" t="s">
        <v>5</v>
      </c>
      <c r="D214" t="s">
        <v>36</v>
      </c>
      <c r="E214" t="s">
        <v>30</v>
      </c>
      <c r="F214" s="14">
        <v>1526</v>
      </c>
      <c r="G214" s="3">
        <v>105</v>
      </c>
      <c r="H214" s="17">
        <f>_xlfn.XLOOKUP(Data[[#This Row],[Product]],products[Product],products[Cost per unit])</f>
        <v>14.49</v>
      </c>
      <c r="I214" s="18">
        <f>Data[[#This Row],[Cost per unit]]*Data[[#This Row],[Units]]</f>
        <v>1521.45</v>
      </c>
    </row>
    <row r="215" spans="3:9" x14ac:dyDescent="0.3">
      <c r="C215" t="s">
        <v>40</v>
      </c>
      <c r="D215" t="s">
        <v>39</v>
      </c>
      <c r="E215" t="s">
        <v>28</v>
      </c>
      <c r="F215" s="14">
        <v>3101</v>
      </c>
      <c r="G215" s="3">
        <v>225</v>
      </c>
      <c r="H215" s="17">
        <f>_xlfn.XLOOKUP(Data[[#This Row],[Product]],products[Product],products[Cost per unit])</f>
        <v>10.38</v>
      </c>
      <c r="I215" s="18">
        <f>Data[[#This Row],[Cost per unit]]*Data[[#This Row],[Units]]</f>
        <v>2335.5</v>
      </c>
    </row>
    <row r="216" spans="3:9" x14ac:dyDescent="0.3">
      <c r="C216" t="s">
        <v>2</v>
      </c>
      <c r="D216" t="s">
        <v>37</v>
      </c>
      <c r="E216" t="s">
        <v>14</v>
      </c>
      <c r="F216" s="14">
        <v>1057</v>
      </c>
      <c r="G216" s="3">
        <v>54</v>
      </c>
      <c r="H216" s="17">
        <f>_xlfn.XLOOKUP(Data[[#This Row],[Product]],products[Product],products[Cost per unit])</f>
        <v>11.7</v>
      </c>
      <c r="I216" s="18">
        <f>Data[[#This Row],[Cost per unit]]*Data[[#This Row],[Units]]</f>
        <v>631.79999999999995</v>
      </c>
    </row>
    <row r="217" spans="3:9" x14ac:dyDescent="0.3">
      <c r="C217" t="s">
        <v>7</v>
      </c>
      <c r="D217" t="s">
        <v>37</v>
      </c>
      <c r="E217" t="s">
        <v>26</v>
      </c>
      <c r="F217" s="14">
        <v>5306</v>
      </c>
      <c r="G217" s="3">
        <v>0</v>
      </c>
      <c r="H217" s="17">
        <f>_xlfn.XLOOKUP(Data[[#This Row],[Product]],products[Product],products[Cost per unit])</f>
        <v>5.6</v>
      </c>
      <c r="I217" s="18">
        <f>Data[[#This Row],[Cost per unit]]*Data[[#This Row],[Units]]</f>
        <v>0</v>
      </c>
    </row>
    <row r="218" spans="3:9" x14ac:dyDescent="0.3">
      <c r="C218" t="s">
        <v>5</v>
      </c>
      <c r="D218" t="s">
        <v>39</v>
      </c>
      <c r="E218" t="s">
        <v>24</v>
      </c>
      <c r="F218" s="14">
        <v>4018</v>
      </c>
      <c r="G218" s="3">
        <v>171</v>
      </c>
      <c r="H218" s="17">
        <f>_xlfn.XLOOKUP(Data[[#This Row],[Product]],products[Product],products[Cost per unit])</f>
        <v>4.97</v>
      </c>
      <c r="I218" s="18">
        <f>Data[[#This Row],[Cost per unit]]*Data[[#This Row],[Units]]</f>
        <v>849.87</v>
      </c>
    </row>
    <row r="219" spans="3:9" x14ac:dyDescent="0.3">
      <c r="C219" t="s">
        <v>9</v>
      </c>
      <c r="D219" t="s">
        <v>34</v>
      </c>
      <c r="E219" t="s">
        <v>16</v>
      </c>
      <c r="F219" s="14">
        <v>938</v>
      </c>
      <c r="G219" s="3">
        <v>189</v>
      </c>
      <c r="H219" s="17">
        <f>_xlfn.XLOOKUP(Data[[#This Row],[Product]],products[Product],products[Cost per unit])</f>
        <v>8.7899999999999991</v>
      </c>
      <c r="I219" s="18">
        <f>Data[[#This Row],[Cost per unit]]*Data[[#This Row],[Units]]</f>
        <v>1661.31</v>
      </c>
    </row>
    <row r="220" spans="3:9" x14ac:dyDescent="0.3">
      <c r="C220" t="s">
        <v>7</v>
      </c>
      <c r="D220" t="s">
        <v>38</v>
      </c>
      <c r="E220" t="s">
        <v>18</v>
      </c>
      <c r="F220" s="14">
        <v>1778</v>
      </c>
      <c r="G220" s="3">
        <v>270</v>
      </c>
      <c r="H220" s="17">
        <f>_xlfn.XLOOKUP(Data[[#This Row],[Product]],products[Product],products[Cost per unit])</f>
        <v>6.47</v>
      </c>
      <c r="I220" s="18">
        <f>Data[[#This Row],[Cost per unit]]*Data[[#This Row],[Units]]</f>
        <v>1746.8999999999999</v>
      </c>
    </row>
    <row r="221" spans="3:9" x14ac:dyDescent="0.3">
      <c r="C221" t="s">
        <v>6</v>
      </c>
      <c r="D221" t="s">
        <v>39</v>
      </c>
      <c r="E221" t="s">
        <v>30</v>
      </c>
      <c r="F221" s="14">
        <v>1638</v>
      </c>
      <c r="G221" s="3">
        <v>63</v>
      </c>
      <c r="H221" s="17">
        <f>_xlfn.XLOOKUP(Data[[#This Row],[Product]],products[Product],products[Cost per unit])</f>
        <v>14.49</v>
      </c>
      <c r="I221" s="18">
        <f>Data[[#This Row],[Cost per unit]]*Data[[#This Row],[Units]]</f>
        <v>912.87</v>
      </c>
    </row>
    <row r="222" spans="3:9" x14ac:dyDescent="0.3">
      <c r="C222" t="s">
        <v>41</v>
      </c>
      <c r="D222" t="s">
        <v>38</v>
      </c>
      <c r="E222" t="s">
        <v>25</v>
      </c>
      <c r="F222" s="14">
        <v>154</v>
      </c>
      <c r="G222" s="3">
        <v>21</v>
      </c>
      <c r="H222" s="17">
        <f>_xlfn.XLOOKUP(Data[[#This Row],[Product]],products[Product],products[Cost per unit])</f>
        <v>13.15</v>
      </c>
      <c r="I222" s="18">
        <f>Data[[#This Row],[Cost per unit]]*Data[[#This Row],[Units]]</f>
        <v>276.15000000000003</v>
      </c>
    </row>
    <row r="223" spans="3:9" x14ac:dyDescent="0.3">
      <c r="C223" t="s">
        <v>7</v>
      </c>
      <c r="D223" t="s">
        <v>37</v>
      </c>
      <c r="E223" t="s">
        <v>22</v>
      </c>
      <c r="F223" s="14">
        <v>9835</v>
      </c>
      <c r="G223" s="3">
        <v>207</v>
      </c>
      <c r="H223" s="17">
        <f>_xlfn.XLOOKUP(Data[[#This Row],[Product]],products[Product],products[Cost per unit])</f>
        <v>9.77</v>
      </c>
      <c r="I223" s="18">
        <f>Data[[#This Row],[Cost per unit]]*Data[[#This Row],[Units]]</f>
        <v>2022.3899999999999</v>
      </c>
    </row>
    <row r="224" spans="3:9" x14ac:dyDescent="0.3">
      <c r="C224" t="s">
        <v>9</v>
      </c>
      <c r="D224" t="s">
        <v>37</v>
      </c>
      <c r="E224" t="s">
        <v>20</v>
      </c>
      <c r="F224" s="14">
        <v>7273</v>
      </c>
      <c r="G224" s="3">
        <v>96</v>
      </c>
      <c r="H224" s="17">
        <f>_xlfn.XLOOKUP(Data[[#This Row],[Product]],products[Product],products[Cost per unit])</f>
        <v>10.62</v>
      </c>
      <c r="I224" s="18">
        <f>Data[[#This Row],[Cost per unit]]*Data[[#This Row],[Units]]</f>
        <v>1019.52</v>
      </c>
    </row>
    <row r="225" spans="3:9" x14ac:dyDescent="0.3">
      <c r="C225" t="s">
        <v>5</v>
      </c>
      <c r="D225" t="s">
        <v>39</v>
      </c>
      <c r="E225" t="s">
        <v>22</v>
      </c>
      <c r="F225" s="14">
        <v>6909</v>
      </c>
      <c r="G225" s="3">
        <v>81</v>
      </c>
      <c r="H225" s="17">
        <f>_xlfn.XLOOKUP(Data[[#This Row],[Product]],products[Product],products[Cost per unit])</f>
        <v>9.77</v>
      </c>
      <c r="I225" s="18">
        <f>Data[[#This Row],[Cost per unit]]*Data[[#This Row],[Units]]</f>
        <v>791.37</v>
      </c>
    </row>
    <row r="226" spans="3:9" x14ac:dyDescent="0.3">
      <c r="C226" t="s">
        <v>9</v>
      </c>
      <c r="D226" t="s">
        <v>39</v>
      </c>
      <c r="E226" t="s">
        <v>24</v>
      </c>
      <c r="F226" s="14">
        <v>3920</v>
      </c>
      <c r="G226" s="3">
        <v>306</v>
      </c>
      <c r="H226" s="17">
        <f>_xlfn.XLOOKUP(Data[[#This Row],[Product]],products[Product],products[Cost per unit])</f>
        <v>4.97</v>
      </c>
      <c r="I226" s="18">
        <f>Data[[#This Row],[Cost per unit]]*Data[[#This Row],[Units]]</f>
        <v>1520.82</v>
      </c>
    </row>
    <row r="227" spans="3:9" x14ac:dyDescent="0.3">
      <c r="C227" t="s">
        <v>10</v>
      </c>
      <c r="D227" t="s">
        <v>39</v>
      </c>
      <c r="E227" t="s">
        <v>21</v>
      </c>
      <c r="F227" s="14">
        <v>4858</v>
      </c>
      <c r="G227" s="3">
        <v>279</v>
      </c>
      <c r="H227" s="17">
        <f>_xlfn.XLOOKUP(Data[[#This Row],[Product]],products[Product],products[Cost per unit])</f>
        <v>9</v>
      </c>
      <c r="I227" s="18">
        <f>Data[[#This Row],[Cost per unit]]*Data[[#This Row],[Units]]</f>
        <v>2511</v>
      </c>
    </row>
    <row r="228" spans="3:9" x14ac:dyDescent="0.3">
      <c r="C228" t="s">
        <v>2</v>
      </c>
      <c r="D228" t="s">
        <v>38</v>
      </c>
      <c r="E228" t="s">
        <v>4</v>
      </c>
      <c r="F228" s="14">
        <v>3549</v>
      </c>
      <c r="G228" s="3">
        <v>3</v>
      </c>
      <c r="H228" s="17">
        <f>_xlfn.XLOOKUP(Data[[#This Row],[Product]],products[Product],products[Cost per unit])</f>
        <v>11.88</v>
      </c>
      <c r="I228" s="18">
        <f>Data[[#This Row],[Cost per unit]]*Data[[#This Row],[Units]]</f>
        <v>35.64</v>
      </c>
    </row>
    <row r="229" spans="3:9" x14ac:dyDescent="0.3">
      <c r="C229" t="s">
        <v>7</v>
      </c>
      <c r="D229" t="s">
        <v>39</v>
      </c>
      <c r="E229" t="s">
        <v>27</v>
      </c>
      <c r="F229" s="14">
        <v>966</v>
      </c>
      <c r="G229" s="3">
        <v>198</v>
      </c>
      <c r="H229" s="17">
        <f>_xlfn.XLOOKUP(Data[[#This Row],[Product]],products[Product],products[Cost per unit])</f>
        <v>16.73</v>
      </c>
      <c r="I229" s="18">
        <f>Data[[#This Row],[Cost per unit]]*Data[[#This Row],[Units]]</f>
        <v>3312.54</v>
      </c>
    </row>
    <row r="230" spans="3:9" x14ac:dyDescent="0.3">
      <c r="C230" t="s">
        <v>5</v>
      </c>
      <c r="D230" t="s">
        <v>39</v>
      </c>
      <c r="E230" t="s">
        <v>18</v>
      </c>
      <c r="F230" s="14">
        <v>385</v>
      </c>
      <c r="G230" s="3">
        <v>249</v>
      </c>
      <c r="H230" s="17">
        <f>_xlfn.XLOOKUP(Data[[#This Row],[Product]],products[Product],products[Cost per unit])</f>
        <v>6.47</v>
      </c>
      <c r="I230" s="18">
        <f>Data[[#This Row],[Cost per unit]]*Data[[#This Row],[Units]]</f>
        <v>1611.03</v>
      </c>
    </row>
    <row r="231" spans="3:9" x14ac:dyDescent="0.3">
      <c r="C231" t="s">
        <v>6</v>
      </c>
      <c r="D231" t="s">
        <v>34</v>
      </c>
      <c r="E231" t="s">
        <v>16</v>
      </c>
      <c r="F231" s="14">
        <v>2219</v>
      </c>
      <c r="G231" s="3">
        <v>75</v>
      </c>
      <c r="H231" s="17">
        <f>_xlfn.XLOOKUP(Data[[#This Row],[Product]],products[Product],products[Cost per unit])</f>
        <v>8.7899999999999991</v>
      </c>
      <c r="I231" s="18">
        <f>Data[[#This Row],[Cost per unit]]*Data[[#This Row],[Units]]</f>
        <v>659.24999999999989</v>
      </c>
    </row>
    <row r="232" spans="3:9" x14ac:dyDescent="0.3">
      <c r="C232" t="s">
        <v>9</v>
      </c>
      <c r="D232" t="s">
        <v>36</v>
      </c>
      <c r="E232" t="s">
        <v>32</v>
      </c>
      <c r="F232" s="14">
        <v>2954</v>
      </c>
      <c r="G232" s="3">
        <v>189</v>
      </c>
      <c r="H232" s="17">
        <f>_xlfn.XLOOKUP(Data[[#This Row],[Product]],products[Product],products[Cost per unit])</f>
        <v>8.65</v>
      </c>
      <c r="I232" s="18">
        <f>Data[[#This Row],[Cost per unit]]*Data[[#This Row],[Units]]</f>
        <v>1634.8500000000001</v>
      </c>
    </row>
    <row r="233" spans="3:9" x14ac:dyDescent="0.3">
      <c r="C233" t="s">
        <v>7</v>
      </c>
      <c r="D233" t="s">
        <v>36</v>
      </c>
      <c r="E233" t="s">
        <v>32</v>
      </c>
      <c r="F233" s="14">
        <v>280</v>
      </c>
      <c r="G233" s="3">
        <v>87</v>
      </c>
      <c r="H233" s="17">
        <f>_xlfn.XLOOKUP(Data[[#This Row],[Product]],products[Product],products[Cost per unit])</f>
        <v>8.65</v>
      </c>
      <c r="I233" s="18">
        <f>Data[[#This Row],[Cost per unit]]*Data[[#This Row],[Units]]</f>
        <v>752.55000000000007</v>
      </c>
    </row>
    <row r="234" spans="3:9" x14ac:dyDescent="0.3">
      <c r="C234" t="s">
        <v>41</v>
      </c>
      <c r="D234" t="s">
        <v>36</v>
      </c>
      <c r="E234" t="s">
        <v>30</v>
      </c>
      <c r="F234" s="14">
        <v>6118</v>
      </c>
      <c r="G234" s="3">
        <v>174</v>
      </c>
      <c r="H234" s="17">
        <f>_xlfn.XLOOKUP(Data[[#This Row],[Product]],products[Product],products[Cost per unit])</f>
        <v>14.49</v>
      </c>
      <c r="I234" s="18">
        <f>Data[[#This Row],[Cost per unit]]*Data[[#This Row],[Units]]</f>
        <v>2521.2600000000002</v>
      </c>
    </row>
    <row r="235" spans="3:9" x14ac:dyDescent="0.3">
      <c r="C235" t="s">
        <v>2</v>
      </c>
      <c r="D235" t="s">
        <v>39</v>
      </c>
      <c r="E235" t="s">
        <v>15</v>
      </c>
      <c r="F235" s="14">
        <v>4802</v>
      </c>
      <c r="G235" s="3">
        <v>36</v>
      </c>
      <c r="H235" s="17">
        <f>_xlfn.XLOOKUP(Data[[#This Row],[Product]],products[Product],products[Cost per unit])</f>
        <v>11.73</v>
      </c>
      <c r="I235" s="18">
        <f>Data[[#This Row],[Cost per unit]]*Data[[#This Row],[Units]]</f>
        <v>422.28000000000003</v>
      </c>
    </row>
    <row r="236" spans="3:9" x14ac:dyDescent="0.3">
      <c r="C236" t="s">
        <v>9</v>
      </c>
      <c r="D236" t="s">
        <v>38</v>
      </c>
      <c r="E236" t="s">
        <v>24</v>
      </c>
      <c r="F236" s="14">
        <v>4137</v>
      </c>
      <c r="G236" s="3">
        <v>60</v>
      </c>
      <c r="H236" s="17">
        <f>_xlfn.XLOOKUP(Data[[#This Row],[Product]],products[Product],products[Cost per unit])</f>
        <v>4.97</v>
      </c>
      <c r="I236" s="18">
        <f>Data[[#This Row],[Cost per unit]]*Data[[#This Row],[Units]]</f>
        <v>298.2</v>
      </c>
    </row>
    <row r="237" spans="3:9" x14ac:dyDescent="0.3">
      <c r="C237" t="s">
        <v>3</v>
      </c>
      <c r="D237" t="s">
        <v>35</v>
      </c>
      <c r="E237" t="s">
        <v>23</v>
      </c>
      <c r="F237" s="14">
        <v>2023</v>
      </c>
      <c r="G237" s="3">
        <v>78</v>
      </c>
      <c r="H237" s="17">
        <f>_xlfn.XLOOKUP(Data[[#This Row],[Product]],products[Product],products[Cost per unit])</f>
        <v>6.49</v>
      </c>
      <c r="I237" s="18">
        <f>Data[[#This Row],[Cost per unit]]*Data[[#This Row],[Units]]</f>
        <v>506.22</v>
      </c>
    </row>
    <row r="238" spans="3:9" x14ac:dyDescent="0.3">
      <c r="C238" t="s">
        <v>9</v>
      </c>
      <c r="D238" t="s">
        <v>36</v>
      </c>
      <c r="E238" t="s">
        <v>30</v>
      </c>
      <c r="F238" s="14">
        <v>9051</v>
      </c>
      <c r="G238" s="3">
        <v>57</v>
      </c>
      <c r="H238" s="17">
        <f>_xlfn.XLOOKUP(Data[[#This Row],[Product]],products[Product],products[Cost per unit])</f>
        <v>14.49</v>
      </c>
      <c r="I238" s="18">
        <f>Data[[#This Row],[Cost per unit]]*Data[[#This Row],[Units]]</f>
        <v>825.93000000000006</v>
      </c>
    </row>
    <row r="239" spans="3:9" x14ac:dyDescent="0.3">
      <c r="C239" t="s">
        <v>9</v>
      </c>
      <c r="D239" t="s">
        <v>37</v>
      </c>
      <c r="E239" t="s">
        <v>28</v>
      </c>
      <c r="F239" s="14">
        <v>2919</v>
      </c>
      <c r="G239" s="3">
        <v>45</v>
      </c>
      <c r="H239" s="17">
        <f>_xlfn.XLOOKUP(Data[[#This Row],[Product]],products[Product],products[Cost per unit])</f>
        <v>10.38</v>
      </c>
      <c r="I239" s="18">
        <f>Data[[#This Row],[Cost per unit]]*Data[[#This Row],[Units]]</f>
        <v>467.1</v>
      </c>
    </row>
    <row r="240" spans="3:9" x14ac:dyDescent="0.3">
      <c r="C240" t="s">
        <v>41</v>
      </c>
      <c r="D240" t="s">
        <v>38</v>
      </c>
      <c r="E240" t="s">
        <v>22</v>
      </c>
      <c r="F240" s="14">
        <v>5915</v>
      </c>
      <c r="G240" s="3">
        <v>3</v>
      </c>
      <c r="H240" s="17">
        <f>_xlfn.XLOOKUP(Data[[#This Row],[Product]],products[Product],products[Cost per unit])</f>
        <v>9.77</v>
      </c>
      <c r="I240" s="18">
        <f>Data[[#This Row],[Cost per unit]]*Data[[#This Row],[Units]]</f>
        <v>29.31</v>
      </c>
    </row>
    <row r="241" spans="3:9" x14ac:dyDescent="0.3">
      <c r="C241" t="s">
        <v>10</v>
      </c>
      <c r="D241" t="s">
        <v>35</v>
      </c>
      <c r="E241" t="s">
        <v>15</v>
      </c>
      <c r="F241" s="14">
        <v>2562</v>
      </c>
      <c r="G241" s="3">
        <v>6</v>
      </c>
      <c r="H241" s="17">
        <f>_xlfn.XLOOKUP(Data[[#This Row],[Product]],products[Product],products[Cost per unit])</f>
        <v>11.73</v>
      </c>
      <c r="I241" s="18">
        <f>Data[[#This Row],[Cost per unit]]*Data[[#This Row],[Units]]</f>
        <v>70.38</v>
      </c>
    </row>
    <row r="242" spans="3:9" x14ac:dyDescent="0.3">
      <c r="C242" t="s">
        <v>5</v>
      </c>
      <c r="D242" t="s">
        <v>37</v>
      </c>
      <c r="E242" t="s">
        <v>25</v>
      </c>
      <c r="F242" s="14">
        <v>8813</v>
      </c>
      <c r="G242" s="3">
        <v>21</v>
      </c>
      <c r="H242" s="17">
        <f>_xlfn.XLOOKUP(Data[[#This Row],[Product]],products[Product],products[Cost per unit])</f>
        <v>13.15</v>
      </c>
      <c r="I242" s="18">
        <f>Data[[#This Row],[Cost per unit]]*Data[[#This Row],[Units]]</f>
        <v>276.15000000000003</v>
      </c>
    </row>
    <row r="243" spans="3:9" x14ac:dyDescent="0.3">
      <c r="C243" t="s">
        <v>5</v>
      </c>
      <c r="D243" t="s">
        <v>36</v>
      </c>
      <c r="E243" t="s">
        <v>18</v>
      </c>
      <c r="F243" s="14">
        <v>6111</v>
      </c>
      <c r="G243" s="3">
        <v>3</v>
      </c>
      <c r="H243" s="17">
        <f>_xlfn.XLOOKUP(Data[[#This Row],[Product]],products[Product],products[Cost per unit])</f>
        <v>6.47</v>
      </c>
      <c r="I243" s="18">
        <f>Data[[#This Row],[Cost per unit]]*Data[[#This Row],[Units]]</f>
        <v>19.41</v>
      </c>
    </row>
    <row r="244" spans="3:9" x14ac:dyDescent="0.3">
      <c r="C244" t="s">
        <v>8</v>
      </c>
      <c r="D244" t="s">
        <v>34</v>
      </c>
      <c r="E244" t="s">
        <v>31</v>
      </c>
      <c r="F244" s="14">
        <v>3507</v>
      </c>
      <c r="G244" s="3">
        <v>288</v>
      </c>
      <c r="H244" s="17">
        <f>_xlfn.XLOOKUP(Data[[#This Row],[Product]],products[Product],products[Cost per unit])</f>
        <v>5.79</v>
      </c>
      <c r="I244" s="18">
        <f>Data[[#This Row],[Cost per unit]]*Data[[#This Row],[Units]]</f>
        <v>1667.52</v>
      </c>
    </row>
    <row r="245" spans="3:9" x14ac:dyDescent="0.3">
      <c r="C245" t="s">
        <v>6</v>
      </c>
      <c r="D245" t="s">
        <v>36</v>
      </c>
      <c r="E245" t="s">
        <v>13</v>
      </c>
      <c r="F245" s="14">
        <v>4319</v>
      </c>
      <c r="G245" s="3">
        <v>30</v>
      </c>
      <c r="H245" s="17">
        <f>_xlfn.XLOOKUP(Data[[#This Row],[Product]],products[Product],products[Cost per unit])</f>
        <v>9.33</v>
      </c>
      <c r="I245" s="18">
        <f>Data[[#This Row],[Cost per unit]]*Data[[#This Row],[Units]]</f>
        <v>279.89999999999998</v>
      </c>
    </row>
    <row r="246" spans="3:9" x14ac:dyDescent="0.3">
      <c r="C246" t="s">
        <v>40</v>
      </c>
      <c r="D246" t="s">
        <v>38</v>
      </c>
      <c r="E246" t="s">
        <v>26</v>
      </c>
      <c r="F246" s="14">
        <v>609</v>
      </c>
      <c r="G246" s="3">
        <v>87</v>
      </c>
      <c r="H246" s="17">
        <f>_xlfn.XLOOKUP(Data[[#This Row],[Product]],products[Product],products[Cost per unit])</f>
        <v>5.6</v>
      </c>
      <c r="I246" s="18">
        <f>Data[[#This Row],[Cost per unit]]*Data[[#This Row],[Units]]</f>
        <v>487.2</v>
      </c>
    </row>
    <row r="247" spans="3:9" x14ac:dyDescent="0.3">
      <c r="C247" t="s">
        <v>40</v>
      </c>
      <c r="D247" t="s">
        <v>39</v>
      </c>
      <c r="E247" t="s">
        <v>27</v>
      </c>
      <c r="F247" s="14">
        <v>6370</v>
      </c>
      <c r="G247" s="3">
        <v>30</v>
      </c>
      <c r="H247" s="17">
        <f>_xlfn.XLOOKUP(Data[[#This Row],[Product]],products[Product],products[Cost per unit])</f>
        <v>16.73</v>
      </c>
      <c r="I247" s="18">
        <f>Data[[#This Row],[Cost per unit]]*Data[[#This Row],[Units]]</f>
        <v>501.90000000000003</v>
      </c>
    </row>
    <row r="248" spans="3:9" x14ac:dyDescent="0.3">
      <c r="C248" t="s">
        <v>5</v>
      </c>
      <c r="D248" t="s">
        <v>38</v>
      </c>
      <c r="E248" t="s">
        <v>19</v>
      </c>
      <c r="F248" s="14">
        <v>5474</v>
      </c>
      <c r="G248" s="3">
        <v>168</v>
      </c>
      <c r="H248" s="17">
        <f>_xlfn.XLOOKUP(Data[[#This Row],[Product]],products[Product],products[Cost per unit])</f>
        <v>7.64</v>
      </c>
      <c r="I248" s="18">
        <f>Data[[#This Row],[Cost per unit]]*Data[[#This Row],[Units]]</f>
        <v>1283.52</v>
      </c>
    </row>
    <row r="249" spans="3:9" x14ac:dyDescent="0.3">
      <c r="C249" t="s">
        <v>40</v>
      </c>
      <c r="D249" t="s">
        <v>36</v>
      </c>
      <c r="E249" t="s">
        <v>27</v>
      </c>
      <c r="F249" s="14">
        <v>3164</v>
      </c>
      <c r="G249" s="3">
        <v>306</v>
      </c>
      <c r="H249" s="17">
        <f>_xlfn.XLOOKUP(Data[[#This Row],[Product]],products[Product],products[Cost per unit])</f>
        <v>16.73</v>
      </c>
      <c r="I249" s="18">
        <f>Data[[#This Row],[Cost per unit]]*Data[[#This Row],[Units]]</f>
        <v>5119.38</v>
      </c>
    </row>
    <row r="250" spans="3:9" x14ac:dyDescent="0.3">
      <c r="C250" t="s">
        <v>6</v>
      </c>
      <c r="D250" t="s">
        <v>35</v>
      </c>
      <c r="E250" t="s">
        <v>4</v>
      </c>
      <c r="F250" s="14">
        <v>1302</v>
      </c>
      <c r="G250" s="3">
        <v>402</v>
      </c>
      <c r="H250" s="17">
        <f>_xlfn.XLOOKUP(Data[[#This Row],[Product]],products[Product],products[Cost per unit])</f>
        <v>11.88</v>
      </c>
      <c r="I250" s="18">
        <f>Data[[#This Row],[Cost per unit]]*Data[[#This Row],[Units]]</f>
        <v>4775.76</v>
      </c>
    </row>
    <row r="251" spans="3:9" x14ac:dyDescent="0.3">
      <c r="C251" t="s">
        <v>3</v>
      </c>
      <c r="D251" t="s">
        <v>37</v>
      </c>
      <c r="E251" t="s">
        <v>28</v>
      </c>
      <c r="F251" s="14">
        <v>7308</v>
      </c>
      <c r="G251" s="3">
        <v>327</v>
      </c>
      <c r="H251" s="17">
        <f>_xlfn.XLOOKUP(Data[[#This Row],[Product]],products[Product],products[Cost per unit])</f>
        <v>10.38</v>
      </c>
      <c r="I251" s="18">
        <f>Data[[#This Row],[Cost per unit]]*Data[[#This Row],[Units]]</f>
        <v>3394.26</v>
      </c>
    </row>
    <row r="252" spans="3:9" x14ac:dyDescent="0.3">
      <c r="C252" t="s">
        <v>40</v>
      </c>
      <c r="D252" t="s">
        <v>37</v>
      </c>
      <c r="E252" t="s">
        <v>27</v>
      </c>
      <c r="F252" s="14">
        <v>6132</v>
      </c>
      <c r="G252" s="3">
        <v>93</v>
      </c>
      <c r="H252" s="17">
        <f>_xlfn.XLOOKUP(Data[[#This Row],[Product]],products[Product],products[Cost per unit])</f>
        <v>16.73</v>
      </c>
      <c r="I252" s="18">
        <f>Data[[#This Row],[Cost per unit]]*Data[[#This Row],[Units]]</f>
        <v>1555.89</v>
      </c>
    </row>
    <row r="253" spans="3:9" x14ac:dyDescent="0.3">
      <c r="C253" t="s">
        <v>10</v>
      </c>
      <c r="D253" t="s">
        <v>35</v>
      </c>
      <c r="E253" t="s">
        <v>14</v>
      </c>
      <c r="F253" s="14">
        <v>3472</v>
      </c>
      <c r="G253" s="3">
        <v>96</v>
      </c>
      <c r="H253" s="17">
        <f>_xlfn.XLOOKUP(Data[[#This Row],[Product]],products[Product],products[Cost per unit])</f>
        <v>11.7</v>
      </c>
      <c r="I253" s="18">
        <f>Data[[#This Row],[Cost per unit]]*Data[[#This Row],[Units]]</f>
        <v>1123.1999999999998</v>
      </c>
    </row>
    <row r="254" spans="3:9" x14ac:dyDescent="0.3">
      <c r="C254" t="s">
        <v>8</v>
      </c>
      <c r="D254" t="s">
        <v>39</v>
      </c>
      <c r="E254" t="s">
        <v>18</v>
      </c>
      <c r="F254" s="14">
        <v>9660</v>
      </c>
      <c r="G254" s="3">
        <v>27</v>
      </c>
      <c r="H254" s="17">
        <f>_xlfn.XLOOKUP(Data[[#This Row],[Product]],products[Product],products[Cost per unit])</f>
        <v>6.47</v>
      </c>
      <c r="I254" s="18">
        <f>Data[[#This Row],[Cost per unit]]*Data[[#This Row],[Units]]</f>
        <v>174.69</v>
      </c>
    </row>
    <row r="255" spans="3:9" x14ac:dyDescent="0.3">
      <c r="C255" t="s">
        <v>9</v>
      </c>
      <c r="D255" t="s">
        <v>38</v>
      </c>
      <c r="E255" t="s">
        <v>26</v>
      </c>
      <c r="F255" s="14">
        <v>2436</v>
      </c>
      <c r="G255" s="3">
        <v>99</v>
      </c>
      <c r="H255" s="17">
        <f>_xlfn.XLOOKUP(Data[[#This Row],[Product]],products[Product],products[Cost per unit])</f>
        <v>5.6</v>
      </c>
      <c r="I255" s="18">
        <f>Data[[#This Row],[Cost per unit]]*Data[[#This Row],[Units]]</f>
        <v>554.4</v>
      </c>
    </row>
    <row r="256" spans="3:9" x14ac:dyDescent="0.3">
      <c r="C256" t="s">
        <v>9</v>
      </c>
      <c r="D256" t="s">
        <v>38</v>
      </c>
      <c r="E256" t="s">
        <v>33</v>
      </c>
      <c r="F256" s="14">
        <v>9506</v>
      </c>
      <c r="G256" s="3">
        <v>87</v>
      </c>
      <c r="H256" s="17">
        <f>_xlfn.XLOOKUP(Data[[#This Row],[Product]],products[Product],products[Cost per unit])</f>
        <v>12.37</v>
      </c>
      <c r="I256" s="18">
        <f>Data[[#This Row],[Cost per unit]]*Data[[#This Row],[Units]]</f>
        <v>1076.1899999999998</v>
      </c>
    </row>
    <row r="257" spans="3:9" x14ac:dyDescent="0.3">
      <c r="C257" t="s">
        <v>10</v>
      </c>
      <c r="D257" t="s">
        <v>37</v>
      </c>
      <c r="E257" t="s">
        <v>21</v>
      </c>
      <c r="F257" s="14">
        <v>245</v>
      </c>
      <c r="G257" s="3">
        <v>288</v>
      </c>
      <c r="H257" s="17">
        <f>_xlfn.XLOOKUP(Data[[#This Row],[Product]],products[Product],products[Cost per unit])</f>
        <v>9</v>
      </c>
      <c r="I257" s="18">
        <f>Data[[#This Row],[Cost per unit]]*Data[[#This Row],[Units]]</f>
        <v>2592</v>
      </c>
    </row>
    <row r="258" spans="3:9" x14ac:dyDescent="0.3">
      <c r="C258" t="s">
        <v>8</v>
      </c>
      <c r="D258" t="s">
        <v>35</v>
      </c>
      <c r="E258" t="s">
        <v>20</v>
      </c>
      <c r="F258" s="14">
        <v>2702</v>
      </c>
      <c r="G258" s="3">
        <v>363</v>
      </c>
      <c r="H258" s="17">
        <f>_xlfn.XLOOKUP(Data[[#This Row],[Product]],products[Product],products[Cost per unit])</f>
        <v>10.62</v>
      </c>
      <c r="I258" s="18">
        <f>Data[[#This Row],[Cost per unit]]*Data[[#This Row],[Units]]</f>
        <v>3855.0599999999995</v>
      </c>
    </row>
    <row r="259" spans="3:9" x14ac:dyDescent="0.3">
      <c r="C259" t="s">
        <v>10</v>
      </c>
      <c r="D259" t="s">
        <v>34</v>
      </c>
      <c r="E259" t="s">
        <v>17</v>
      </c>
      <c r="F259" s="14">
        <v>700</v>
      </c>
      <c r="G259" s="3">
        <v>87</v>
      </c>
      <c r="H259" s="17">
        <f>_xlfn.XLOOKUP(Data[[#This Row],[Product]],products[Product],products[Cost per unit])</f>
        <v>3.11</v>
      </c>
      <c r="I259" s="18">
        <f>Data[[#This Row],[Cost per unit]]*Data[[#This Row],[Units]]</f>
        <v>270.57</v>
      </c>
    </row>
    <row r="260" spans="3:9" x14ac:dyDescent="0.3">
      <c r="C260" t="s">
        <v>6</v>
      </c>
      <c r="D260" t="s">
        <v>34</v>
      </c>
      <c r="E260" t="s">
        <v>17</v>
      </c>
      <c r="F260" s="14">
        <v>3759</v>
      </c>
      <c r="G260" s="3">
        <v>150</v>
      </c>
      <c r="H260" s="17">
        <f>_xlfn.XLOOKUP(Data[[#This Row],[Product]],products[Product],products[Cost per unit])</f>
        <v>3.11</v>
      </c>
      <c r="I260" s="18">
        <f>Data[[#This Row],[Cost per unit]]*Data[[#This Row],[Units]]</f>
        <v>466.5</v>
      </c>
    </row>
    <row r="261" spans="3:9" x14ac:dyDescent="0.3">
      <c r="C261" t="s">
        <v>2</v>
      </c>
      <c r="D261" t="s">
        <v>35</v>
      </c>
      <c r="E261" t="s">
        <v>17</v>
      </c>
      <c r="F261" s="14">
        <v>1589</v>
      </c>
      <c r="G261" s="3">
        <v>303</v>
      </c>
      <c r="H261" s="17">
        <f>_xlfn.XLOOKUP(Data[[#This Row],[Product]],products[Product],products[Cost per unit])</f>
        <v>3.11</v>
      </c>
      <c r="I261" s="18">
        <f>Data[[#This Row],[Cost per unit]]*Data[[#This Row],[Units]]</f>
        <v>942.32999999999993</v>
      </c>
    </row>
    <row r="262" spans="3:9" x14ac:dyDescent="0.3">
      <c r="C262" t="s">
        <v>7</v>
      </c>
      <c r="D262" t="s">
        <v>35</v>
      </c>
      <c r="E262" t="s">
        <v>28</v>
      </c>
      <c r="F262" s="14">
        <v>5194</v>
      </c>
      <c r="G262" s="3">
        <v>288</v>
      </c>
      <c r="H262" s="17">
        <f>_xlfn.XLOOKUP(Data[[#This Row],[Product]],products[Product],products[Cost per unit])</f>
        <v>10.38</v>
      </c>
      <c r="I262" s="18">
        <f>Data[[#This Row],[Cost per unit]]*Data[[#This Row],[Units]]</f>
        <v>2989.44</v>
      </c>
    </row>
    <row r="263" spans="3:9" x14ac:dyDescent="0.3">
      <c r="C263" t="s">
        <v>10</v>
      </c>
      <c r="D263" t="s">
        <v>36</v>
      </c>
      <c r="E263" t="s">
        <v>13</v>
      </c>
      <c r="F263" s="14">
        <v>945</v>
      </c>
      <c r="G263" s="3">
        <v>75</v>
      </c>
      <c r="H263" s="17">
        <f>_xlfn.XLOOKUP(Data[[#This Row],[Product]],products[Product],products[Cost per unit])</f>
        <v>9.33</v>
      </c>
      <c r="I263" s="18">
        <f>Data[[#This Row],[Cost per unit]]*Data[[#This Row],[Units]]</f>
        <v>699.75</v>
      </c>
    </row>
    <row r="264" spans="3:9" x14ac:dyDescent="0.3">
      <c r="C264" t="s">
        <v>40</v>
      </c>
      <c r="D264" t="s">
        <v>38</v>
      </c>
      <c r="E264" t="s">
        <v>31</v>
      </c>
      <c r="F264" s="14">
        <v>1988</v>
      </c>
      <c r="G264" s="3">
        <v>39</v>
      </c>
      <c r="H264" s="17">
        <f>_xlfn.XLOOKUP(Data[[#This Row],[Product]],products[Product],products[Cost per unit])</f>
        <v>5.79</v>
      </c>
      <c r="I264" s="18">
        <f>Data[[#This Row],[Cost per unit]]*Data[[#This Row],[Units]]</f>
        <v>225.81</v>
      </c>
    </row>
    <row r="265" spans="3:9" x14ac:dyDescent="0.3">
      <c r="C265" t="s">
        <v>6</v>
      </c>
      <c r="D265" t="s">
        <v>34</v>
      </c>
      <c r="E265" t="s">
        <v>32</v>
      </c>
      <c r="F265" s="14">
        <v>6734</v>
      </c>
      <c r="G265" s="3">
        <v>123</v>
      </c>
      <c r="H265" s="17">
        <f>_xlfn.XLOOKUP(Data[[#This Row],[Product]],products[Product],products[Cost per unit])</f>
        <v>8.65</v>
      </c>
      <c r="I265" s="18">
        <f>Data[[#This Row],[Cost per unit]]*Data[[#This Row],[Units]]</f>
        <v>1063.95</v>
      </c>
    </row>
    <row r="266" spans="3:9" x14ac:dyDescent="0.3">
      <c r="C266" t="s">
        <v>40</v>
      </c>
      <c r="D266" t="s">
        <v>36</v>
      </c>
      <c r="E266" t="s">
        <v>4</v>
      </c>
      <c r="F266" s="14">
        <v>217</v>
      </c>
      <c r="G266" s="3">
        <v>36</v>
      </c>
      <c r="H266" s="17">
        <f>_xlfn.XLOOKUP(Data[[#This Row],[Product]],products[Product],products[Cost per unit])</f>
        <v>11.88</v>
      </c>
      <c r="I266" s="18">
        <f>Data[[#This Row],[Cost per unit]]*Data[[#This Row],[Units]]</f>
        <v>427.68</v>
      </c>
    </row>
    <row r="267" spans="3:9" x14ac:dyDescent="0.3">
      <c r="C267" t="s">
        <v>5</v>
      </c>
      <c r="D267" t="s">
        <v>34</v>
      </c>
      <c r="E267" t="s">
        <v>22</v>
      </c>
      <c r="F267" s="14">
        <v>6279</v>
      </c>
      <c r="G267" s="3">
        <v>237</v>
      </c>
      <c r="H267" s="17">
        <f>_xlfn.XLOOKUP(Data[[#This Row],[Product]],products[Product],products[Cost per unit])</f>
        <v>9.77</v>
      </c>
      <c r="I267" s="18">
        <f>Data[[#This Row],[Cost per unit]]*Data[[#This Row],[Units]]</f>
        <v>2315.4899999999998</v>
      </c>
    </row>
    <row r="268" spans="3:9" x14ac:dyDescent="0.3">
      <c r="C268" t="s">
        <v>40</v>
      </c>
      <c r="D268" t="s">
        <v>36</v>
      </c>
      <c r="E268" t="s">
        <v>13</v>
      </c>
      <c r="F268" s="14">
        <v>4424</v>
      </c>
      <c r="G268" s="3">
        <v>201</v>
      </c>
      <c r="H268" s="17">
        <f>_xlfn.XLOOKUP(Data[[#This Row],[Product]],products[Product],products[Cost per unit])</f>
        <v>9.33</v>
      </c>
      <c r="I268" s="18">
        <f>Data[[#This Row],[Cost per unit]]*Data[[#This Row],[Units]]</f>
        <v>1875.33</v>
      </c>
    </row>
    <row r="269" spans="3:9" x14ac:dyDescent="0.3">
      <c r="C269" t="s">
        <v>2</v>
      </c>
      <c r="D269" t="s">
        <v>36</v>
      </c>
      <c r="E269" t="s">
        <v>17</v>
      </c>
      <c r="F269" s="14">
        <v>189</v>
      </c>
      <c r="G269" s="3">
        <v>48</v>
      </c>
      <c r="H269" s="17">
        <f>_xlfn.XLOOKUP(Data[[#This Row],[Product]],products[Product],products[Cost per unit])</f>
        <v>3.11</v>
      </c>
      <c r="I269" s="18">
        <f>Data[[#This Row],[Cost per unit]]*Data[[#This Row],[Units]]</f>
        <v>149.28</v>
      </c>
    </row>
    <row r="270" spans="3:9" x14ac:dyDescent="0.3">
      <c r="C270" t="s">
        <v>5</v>
      </c>
      <c r="D270" t="s">
        <v>35</v>
      </c>
      <c r="E270" t="s">
        <v>22</v>
      </c>
      <c r="F270" s="14">
        <v>490</v>
      </c>
      <c r="G270" s="3">
        <v>84</v>
      </c>
      <c r="H270" s="17">
        <f>_xlfn.XLOOKUP(Data[[#This Row],[Product]],products[Product],products[Cost per unit])</f>
        <v>9.77</v>
      </c>
      <c r="I270" s="18">
        <f>Data[[#This Row],[Cost per unit]]*Data[[#This Row],[Units]]</f>
        <v>820.68</v>
      </c>
    </row>
    <row r="271" spans="3:9" x14ac:dyDescent="0.3">
      <c r="C271" t="s">
        <v>8</v>
      </c>
      <c r="D271" t="s">
        <v>37</v>
      </c>
      <c r="E271" t="s">
        <v>21</v>
      </c>
      <c r="F271" s="14">
        <v>434</v>
      </c>
      <c r="G271" s="3">
        <v>87</v>
      </c>
      <c r="H271" s="17">
        <f>_xlfn.XLOOKUP(Data[[#This Row],[Product]],products[Product],products[Cost per unit])</f>
        <v>9</v>
      </c>
      <c r="I271" s="18">
        <f>Data[[#This Row],[Cost per unit]]*Data[[#This Row],[Units]]</f>
        <v>783</v>
      </c>
    </row>
    <row r="272" spans="3:9" x14ac:dyDescent="0.3">
      <c r="C272" t="s">
        <v>7</v>
      </c>
      <c r="D272" t="s">
        <v>38</v>
      </c>
      <c r="E272" t="s">
        <v>30</v>
      </c>
      <c r="F272" s="14">
        <v>10129</v>
      </c>
      <c r="G272" s="3">
        <v>312</v>
      </c>
      <c r="H272" s="17">
        <f>_xlfn.XLOOKUP(Data[[#This Row],[Product]],products[Product],products[Cost per unit])</f>
        <v>14.49</v>
      </c>
      <c r="I272" s="18">
        <f>Data[[#This Row],[Cost per unit]]*Data[[#This Row],[Units]]</f>
        <v>4520.88</v>
      </c>
    </row>
    <row r="273" spans="3:9" x14ac:dyDescent="0.3">
      <c r="C273" t="s">
        <v>3</v>
      </c>
      <c r="D273" t="s">
        <v>39</v>
      </c>
      <c r="E273" t="s">
        <v>28</v>
      </c>
      <c r="F273" s="14">
        <v>1652</v>
      </c>
      <c r="G273" s="3">
        <v>102</v>
      </c>
      <c r="H273" s="17">
        <f>_xlfn.XLOOKUP(Data[[#This Row],[Product]],products[Product],products[Cost per unit])</f>
        <v>10.38</v>
      </c>
      <c r="I273" s="18">
        <f>Data[[#This Row],[Cost per unit]]*Data[[#This Row],[Units]]</f>
        <v>1058.76</v>
      </c>
    </row>
    <row r="274" spans="3:9" x14ac:dyDescent="0.3">
      <c r="C274" t="s">
        <v>8</v>
      </c>
      <c r="D274" t="s">
        <v>38</v>
      </c>
      <c r="E274" t="s">
        <v>21</v>
      </c>
      <c r="F274" s="14">
        <v>6433</v>
      </c>
      <c r="G274" s="3">
        <v>78</v>
      </c>
      <c r="H274" s="17">
        <f>_xlfn.XLOOKUP(Data[[#This Row],[Product]],products[Product],products[Cost per unit])</f>
        <v>9</v>
      </c>
      <c r="I274" s="18">
        <f>Data[[#This Row],[Cost per unit]]*Data[[#This Row],[Units]]</f>
        <v>702</v>
      </c>
    </row>
    <row r="275" spans="3:9" x14ac:dyDescent="0.3">
      <c r="C275" t="s">
        <v>3</v>
      </c>
      <c r="D275" t="s">
        <v>34</v>
      </c>
      <c r="E275" t="s">
        <v>23</v>
      </c>
      <c r="F275" s="14">
        <v>2212</v>
      </c>
      <c r="G275" s="3">
        <v>117</v>
      </c>
      <c r="H275" s="17">
        <f>_xlfn.XLOOKUP(Data[[#This Row],[Product]],products[Product],products[Cost per unit])</f>
        <v>6.49</v>
      </c>
      <c r="I275" s="18">
        <f>Data[[#This Row],[Cost per unit]]*Data[[#This Row],[Units]]</f>
        <v>759.33</v>
      </c>
    </row>
    <row r="276" spans="3:9" x14ac:dyDescent="0.3">
      <c r="C276" t="s">
        <v>41</v>
      </c>
      <c r="D276" t="s">
        <v>35</v>
      </c>
      <c r="E276" t="s">
        <v>19</v>
      </c>
      <c r="F276" s="14">
        <v>609</v>
      </c>
      <c r="G276" s="3">
        <v>99</v>
      </c>
      <c r="H276" s="17">
        <f>_xlfn.XLOOKUP(Data[[#This Row],[Product]],products[Product],products[Cost per unit])</f>
        <v>7.64</v>
      </c>
      <c r="I276" s="18">
        <f>Data[[#This Row],[Cost per unit]]*Data[[#This Row],[Units]]</f>
        <v>756.36</v>
      </c>
    </row>
    <row r="277" spans="3:9" x14ac:dyDescent="0.3">
      <c r="C277" t="s">
        <v>40</v>
      </c>
      <c r="D277" t="s">
        <v>35</v>
      </c>
      <c r="E277" t="s">
        <v>24</v>
      </c>
      <c r="F277" s="14">
        <v>1638</v>
      </c>
      <c r="G277" s="3">
        <v>48</v>
      </c>
      <c r="H277" s="17">
        <f>_xlfn.XLOOKUP(Data[[#This Row],[Product]],products[Product],products[Cost per unit])</f>
        <v>4.97</v>
      </c>
      <c r="I277" s="18">
        <f>Data[[#This Row],[Cost per unit]]*Data[[#This Row],[Units]]</f>
        <v>238.56</v>
      </c>
    </row>
    <row r="278" spans="3:9" x14ac:dyDescent="0.3">
      <c r="C278" t="s">
        <v>7</v>
      </c>
      <c r="D278" t="s">
        <v>34</v>
      </c>
      <c r="E278" t="s">
        <v>15</v>
      </c>
      <c r="F278" s="14">
        <v>3829</v>
      </c>
      <c r="G278" s="3">
        <v>24</v>
      </c>
      <c r="H278" s="17">
        <f>_xlfn.XLOOKUP(Data[[#This Row],[Product]],products[Product],products[Cost per unit])</f>
        <v>11.73</v>
      </c>
      <c r="I278" s="18">
        <f>Data[[#This Row],[Cost per unit]]*Data[[#This Row],[Units]]</f>
        <v>281.52</v>
      </c>
    </row>
    <row r="279" spans="3:9" x14ac:dyDescent="0.3">
      <c r="C279" t="s">
        <v>40</v>
      </c>
      <c r="D279" t="s">
        <v>39</v>
      </c>
      <c r="E279" t="s">
        <v>15</v>
      </c>
      <c r="F279" s="14">
        <v>5775</v>
      </c>
      <c r="G279" s="3">
        <v>42</v>
      </c>
      <c r="H279" s="17">
        <f>_xlfn.XLOOKUP(Data[[#This Row],[Product]],products[Product],products[Cost per unit])</f>
        <v>11.73</v>
      </c>
      <c r="I279" s="18">
        <f>Data[[#This Row],[Cost per unit]]*Data[[#This Row],[Units]]</f>
        <v>492.66</v>
      </c>
    </row>
    <row r="280" spans="3:9" x14ac:dyDescent="0.3">
      <c r="C280" t="s">
        <v>6</v>
      </c>
      <c r="D280" t="s">
        <v>35</v>
      </c>
      <c r="E280" t="s">
        <v>20</v>
      </c>
      <c r="F280" s="14">
        <v>1071</v>
      </c>
      <c r="G280" s="3">
        <v>270</v>
      </c>
      <c r="H280" s="17">
        <f>_xlfn.XLOOKUP(Data[[#This Row],[Product]],products[Product],products[Cost per unit])</f>
        <v>10.62</v>
      </c>
      <c r="I280" s="18">
        <f>Data[[#This Row],[Cost per unit]]*Data[[#This Row],[Units]]</f>
        <v>2867.3999999999996</v>
      </c>
    </row>
    <row r="281" spans="3:9" x14ac:dyDescent="0.3">
      <c r="C281" t="s">
        <v>8</v>
      </c>
      <c r="D281" t="s">
        <v>36</v>
      </c>
      <c r="E281" t="s">
        <v>23</v>
      </c>
      <c r="F281" s="14">
        <v>5019</v>
      </c>
      <c r="G281" s="3">
        <v>150</v>
      </c>
      <c r="H281" s="17">
        <f>_xlfn.XLOOKUP(Data[[#This Row],[Product]],products[Product],products[Cost per unit])</f>
        <v>6.49</v>
      </c>
      <c r="I281" s="18">
        <f>Data[[#This Row],[Cost per unit]]*Data[[#This Row],[Units]]</f>
        <v>973.5</v>
      </c>
    </row>
    <row r="282" spans="3:9" x14ac:dyDescent="0.3">
      <c r="C282" t="s">
        <v>2</v>
      </c>
      <c r="D282" t="s">
        <v>37</v>
      </c>
      <c r="E282" t="s">
        <v>15</v>
      </c>
      <c r="F282" s="14">
        <v>2863</v>
      </c>
      <c r="G282" s="3">
        <v>42</v>
      </c>
      <c r="H282" s="17">
        <f>_xlfn.XLOOKUP(Data[[#This Row],[Product]],products[Product],products[Cost per unit])</f>
        <v>11.73</v>
      </c>
      <c r="I282" s="18">
        <f>Data[[#This Row],[Cost per unit]]*Data[[#This Row],[Units]]</f>
        <v>492.66</v>
      </c>
    </row>
    <row r="283" spans="3:9" x14ac:dyDescent="0.3">
      <c r="C283" t="s">
        <v>40</v>
      </c>
      <c r="D283" t="s">
        <v>35</v>
      </c>
      <c r="E283" t="s">
        <v>29</v>
      </c>
      <c r="F283" s="14">
        <v>1617</v>
      </c>
      <c r="G283" s="3">
        <v>126</v>
      </c>
      <c r="H283" s="17">
        <f>_xlfn.XLOOKUP(Data[[#This Row],[Product]],products[Product],products[Cost per unit])</f>
        <v>7.16</v>
      </c>
      <c r="I283" s="18">
        <f>Data[[#This Row],[Cost per unit]]*Data[[#This Row],[Units]]</f>
        <v>902.16</v>
      </c>
    </row>
    <row r="284" spans="3:9" x14ac:dyDescent="0.3">
      <c r="C284" t="s">
        <v>6</v>
      </c>
      <c r="D284" t="s">
        <v>37</v>
      </c>
      <c r="E284" t="s">
        <v>26</v>
      </c>
      <c r="F284" s="14">
        <v>6818</v>
      </c>
      <c r="G284" s="3">
        <v>6</v>
      </c>
      <c r="H284" s="17">
        <f>_xlfn.XLOOKUP(Data[[#This Row],[Product]],products[Product],products[Cost per unit])</f>
        <v>5.6</v>
      </c>
      <c r="I284" s="18">
        <f>Data[[#This Row],[Cost per unit]]*Data[[#This Row],[Units]]</f>
        <v>33.599999999999994</v>
      </c>
    </row>
    <row r="285" spans="3:9" x14ac:dyDescent="0.3">
      <c r="C285" t="s">
        <v>3</v>
      </c>
      <c r="D285" t="s">
        <v>35</v>
      </c>
      <c r="E285" t="s">
        <v>15</v>
      </c>
      <c r="F285" s="14">
        <v>6657</v>
      </c>
      <c r="G285" s="3">
        <v>276</v>
      </c>
      <c r="H285" s="17">
        <f>_xlfn.XLOOKUP(Data[[#This Row],[Product]],products[Product],products[Cost per unit])</f>
        <v>11.73</v>
      </c>
      <c r="I285" s="18">
        <f>Data[[#This Row],[Cost per unit]]*Data[[#This Row],[Units]]</f>
        <v>3237.48</v>
      </c>
    </row>
    <row r="286" spans="3:9" x14ac:dyDescent="0.3">
      <c r="C286" t="s">
        <v>3</v>
      </c>
      <c r="D286" t="s">
        <v>34</v>
      </c>
      <c r="E286" t="s">
        <v>17</v>
      </c>
      <c r="F286" s="14">
        <v>2919</v>
      </c>
      <c r="G286" s="3">
        <v>93</v>
      </c>
      <c r="H286" s="17">
        <f>_xlfn.XLOOKUP(Data[[#This Row],[Product]],products[Product],products[Cost per unit])</f>
        <v>3.11</v>
      </c>
      <c r="I286" s="18">
        <f>Data[[#This Row],[Cost per unit]]*Data[[#This Row],[Units]]</f>
        <v>289.22999999999996</v>
      </c>
    </row>
    <row r="287" spans="3:9" x14ac:dyDescent="0.3">
      <c r="C287" t="s">
        <v>2</v>
      </c>
      <c r="D287" t="s">
        <v>36</v>
      </c>
      <c r="E287" t="s">
        <v>31</v>
      </c>
      <c r="F287" s="14">
        <v>3094</v>
      </c>
      <c r="G287" s="3">
        <v>246</v>
      </c>
      <c r="H287" s="17">
        <f>_xlfn.XLOOKUP(Data[[#This Row],[Product]],products[Product],products[Cost per unit])</f>
        <v>5.79</v>
      </c>
      <c r="I287" s="18">
        <f>Data[[#This Row],[Cost per unit]]*Data[[#This Row],[Units]]</f>
        <v>1424.34</v>
      </c>
    </row>
    <row r="288" spans="3:9" x14ac:dyDescent="0.3">
      <c r="C288" t="s">
        <v>6</v>
      </c>
      <c r="D288" t="s">
        <v>39</v>
      </c>
      <c r="E288" t="s">
        <v>24</v>
      </c>
      <c r="F288" s="14">
        <v>2989</v>
      </c>
      <c r="G288" s="3">
        <v>3</v>
      </c>
      <c r="H288" s="17">
        <f>_xlfn.XLOOKUP(Data[[#This Row],[Product]],products[Product],products[Cost per unit])</f>
        <v>4.97</v>
      </c>
      <c r="I288" s="18">
        <f>Data[[#This Row],[Cost per unit]]*Data[[#This Row],[Units]]</f>
        <v>14.91</v>
      </c>
    </row>
    <row r="289" spans="3:9" x14ac:dyDescent="0.3">
      <c r="C289" t="s">
        <v>8</v>
      </c>
      <c r="D289" t="s">
        <v>38</v>
      </c>
      <c r="E289" t="s">
        <v>27</v>
      </c>
      <c r="F289" s="14">
        <v>2268</v>
      </c>
      <c r="G289" s="3">
        <v>63</v>
      </c>
      <c r="H289" s="17">
        <f>_xlfn.XLOOKUP(Data[[#This Row],[Product]],products[Product],products[Cost per unit])</f>
        <v>16.73</v>
      </c>
      <c r="I289" s="18">
        <f>Data[[#This Row],[Cost per unit]]*Data[[#This Row],[Units]]</f>
        <v>1053.99</v>
      </c>
    </row>
    <row r="290" spans="3:9" x14ac:dyDescent="0.3">
      <c r="C290" t="s">
        <v>5</v>
      </c>
      <c r="D290" t="s">
        <v>35</v>
      </c>
      <c r="E290" t="s">
        <v>31</v>
      </c>
      <c r="F290" s="14">
        <v>4753</v>
      </c>
      <c r="G290" s="3">
        <v>246</v>
      </c>
      <c r="H290" s="17">
        <f>_xlfn.XLOOKUP(Data[[#This Row],[Product]],products[Product],products[Cost per unit])</f>
        <v>5.79</v>
      </c>
      <c r="I290" s="18">
        <f>Data[[#This Row],[Cost per unit]]*Data[[#This Row],[Units]]</f>
        <v>1424.34</v>
      </c>
    </row>
    <row r="291" spans="3:9" x14ac:dyDescent="0.3">
      <c r="C291" t="s">
        <v>2</v>
      </c>
      <c r="D291" t="s">
        <v>34</v>
      </c>
      <c r="E291" t="s">
        <v>19</v>
      </c>
      <c r="F291" s="14">
        <v>7511</v>
      </c>
      <c r="G291" s="3">
        <v>120</v>
      </c>
      <c r="H291" s="17">
        <f>_xlfn.XLOOKUP(Data[[#This Row],[Product]],products[Product],products[Cost per unit])</f>
        <v>7.64</v>
      </c>
      <c r="I291" s="18">
        <f>Data[[#This Row],[Cost per unit]]*Data[[#This Row],[Units]]</f>
        <v>916.8</v>
      </c>
    </row>
    <row r="292" spans="3:9" x14ac:dyDescent="0.3">
      <c r="C292" t="s">
        <v>2</v>
      </c>
      <c r="D292" t="s">
        <v>38</v>
      </c>
      <c r="E292" t="s">
        <v>31</v>
      </c>
      <c r="F292" s="14">
        <v>4326</v>
      </c>
      <c r="G292" s="3">
        <v>348</v>
      </c>
      <c r="H292" s="17">
        <f>_xlfn.XLOOKUP(Data[[#This Row],[Product]],products[Product],products[Cost per unit])</f>
        <v>5.79</v>
      </c>
      <c r="I292" s="18">
        <f>Data[[#This Row],[Cost per unit]]*Data[[#This Row],[Units]]</f>
        <v>2014.92</v>
      </c>
    </row>
    <row r="293" spans="3:9" x14ac:dyDescent="0.3">
      <c r="C293" t="s">
        <v>41</v>
      </c>
      <c r="D293" t="s">
        <v>34</v>
      </c>
      <c r="E293" t="s">
        <v>23</v>
      </c>
      <c r="F293" s="14">
        <v>4935</v>
      </c>
      <c r="G293" s="3">
        <v>126</v>
      </c>
      <c r="H293" s="17">
        <f>_xlfn.XLOOKUP(Data[[#This Row],[Product]],products[Product],products[Cost per unit])</f>
        <v>6.49</v>
      </c>
      <c r="I293" s="18">
        <f>Data[[#This Row],[Cost per unit]]*Data[[#This Row],[Units]]</f>
        <v>817.74</v>
      </c>
    </row>
    <row r="294" spans="3:9" x14ac:dyDescent="0.3">
      <c r="C294" t="s">
        <v>6</v>
      </c>
      <c r="D294" t="s">
        <v>35</v>
      </c>
      <c r="E294" t="s">
        <v>30</v>
      </c>
      <c r="F294" s="14">
        <v>4781</v>
      </c>
      <c r="G294" s="3">
        <v>123</v>
      </c>
      <c r="H294" s="17">
        <f>_xlfn.XLOOKUP(Data[[#This Row],[Product]],products[Product],products[Cost per unit])</f>
        <v>14.49</v>
      </c>
      <c r="I294" s="18">
        <f>Data[[#This Row],[Cost per unit]]*Data[[#This Row],[Units]]</f>
        <v>1782.27</v>
      </c>
    </row>
    <row r="295" spans="3:9" x14ac:dyDescent="0.3">
      <c r="C295" t="s">
        <v>5</v>
      </c>
      <c r="D295" t="s">
        <v>38</v>
      </c>
      <c r="E295" t="s">
        <v>25</v>
      </c>
      <c r="F295" s="14">
        <v>7483</v>
      </c>
      <c r="G295" s="3">
        <v>45</v>
      </c>
      <c r="H295" s="17">
        <f>_xlfn.XLOOKUP(Data[[#This Row],[Product]],products[Product],products[Cost per unit])</f>
        <v>13.15</v>
      </c>
      <c r="I295" s="18">
        <f>Data[[#This Row],[Cost per unit]]*Data[[#This Row],[Units]]</f>
        <v>591.75</v>
      </c>
    </row>
    <row r="296" spans="3:9" x14ac:dyDescent="0.3">
      <c r="C296" t="s">
        <v>10</v>
      </c>
      <c r="D296" t="s">
        <v>38</v>
      </c>
      <c r="E296" t="s">
        <v>4</v>
      </c>
      <c r="F296" s="14">
        <v>6860</v>
      </c>
      <c r="G296" s="3">
        <v>126</v>
      </c>
      <c r="H296" s="17">
        <f>_xlfn.XLOOKUP(Data[[#This Row],[Product]],products[Product],products[Cost per unit])</f>
        <v>11.88</v>
      </c>
      <c r="I296" s="18">
        <f>Data[[#This Row],[Cost per unit]]*Data[[#This Row],[Units]]</f>
        <v>1496.88</v>
      </c>
    </row>
    <row r="297" spans="3:9" x14ac:dyDescent="0.3">
      <c r="C297" t="s">
        <v>40</v>
      </c>
      <c r="D297" t="s">
        <v>37</v>
      </c>
      <c r="E297" t="s">
        <v>29</v>
      </c>
      <c r="F297" s="14">
        <v>9002</v>
      </c>
      <c r="G297" s="3">
        <v>72</v>
      </c>
      <c r="H297" s="17">
        <f>_xlfn.XLOOKUP(Data[[#This Row],[Product]],products[Product],products[Cost per unit])</f>
        <v>7.16</v>
      </c>
      <c r="I297" s="18">
        <f>Data[[#This Row],[Cost per unit]]*Data[[#This Row],[Units]]</f>
        <v>515.52</v>
      </c>
    </row>
    <row r="298" spans="3:9" x14ac:dyDescent="0.3">
      <c r="C298" t="s">
        <v>6</v>
      </c>
      <c r="D298" t="s">
        <v>36</v>
      </c>
      <c r="E298" t="s">
        <v>29</v>
      </c>
      <c r="F298" s="14">
        <v>1400</v>
      </c>
      <c r="G298" s="3">
        <v>135</v>
      </c>
      <c r="H298" s="17">
        <f>_xlfn.XLOOKUP(Data[[#This Row],[Product]],products[Product],products[Cost per unit])</f>
        <v>7.16</v>
      </c>
      <c r="I298" s="18">
        <f>Data[[#This Row],[Cost per unit]]*Data[[#This Row],[Units]]</f>
        <v>966.6</v>
      </c>
    </row>
    <row r="299" spans="3:9" x14ac:dyDescent="0.3">
      <c r="C299" t="s">
        <v>10</v>
      </c>
      <c r="D299" t="s">
        <v>34</v>
      </c>
      <c r="E299" t="s">
        <v>22</v>
      </c>
      <c r="F299" s="14">
        <v>4053</v>
      </c>
      <c r="G299" s="3">
        <v>24</v>
      </c>
      <c r="H299" s="17">
        <f>_xlfn.XLOOKUP(Data[[#This Row],[Product]],products[Product],products[Cost per unit])</f>
        <v>9.77</v>
      </c>
      <c r="I299" s="18">
        <f>Data[[#This Row],[Cost per unit]]*Data[[#This Row],[Units]]</f>
        <v>234.48</v>
      </c>
    </row>
    <row r="300" spans="3:9" x14ac:dyDescent="0.3">
      <c r="C300" t="s">
        <v>7</v>
      </c>
      <c r="D300" t="s">
        <v>36</v>
      </c>
      <c r="E300" t="s">
        <v>31</v>
      </c>
      <c r="F300" s="14">
        <v>2149</v>
      </c>
      <c r="G300" s="3">
        <v>117</v>
      </c>
      <c r="H300" s="17">
        <f>_xlfn.XLOOKUP(Data[[#This Row],[Product]],products[Product],products[Cost per unit])</f>
        <v>5.79</v>
      </c>
      <c r="I300" s="18">
        <f>Data[[#This Row],[Cost per unit]]*Data[[#This Row],[Units]]</f>
        <v>677.43</v>
      </c>
    </row>
    <row r="301" spans="3:9" x14ac:dyDescent="0.3">
      <c r="C301" t="s">
        <v>3</v>
      </c>
      <c r="D301" t="s">
        <v>39</v>
      </c>
      <c r="E301" t="s">
        <v>29</v>
      </c>
      <c r="F301" s="14">
        <v>3640</v>
      </c>
      <c r="G301" s="3">
        <v>51</v>
      </c>
      <c r="H301" s="17">
        <f>_xlfn.XLOOKUP(Data[[#This Row],[Product]],products[Product],products[Cost per unit])</f>
        <v>7.16</v>
      </c>
      <c r="I301" s="18">
        <f>Data[[#This Row],[Cost per unit]]*Data[[#This Row],[Units]]</f>
        <v>365.16</v>
      </c>
    </row>
    <row r="302" spans="3:9" x14ac:dyDescent="0.3">
      <c r="C302" t="s">
        <v>2</v>
      </c>
      <c r="D302" t="s">
        <v>39</v>
      </c>
      <c r="E302" t="s">
        <v>23</v>
      </c>
      <c r="F302" s="14">
        <v>630</v>
      </c>
      <c r="G302" s="3">
        <v>36</v>
      </c>
      <c r="H302" s="17">
        <f>_xlfn.XLOOKUP(Data[[#This Row],[Product]],products[Product],products[Cost per unit])</f>
        <v>6.49</v>
      </c>
      <c r="I302" s="18">
        <f>Data[[#This Row],[Cost per unit]]*Data[[#This Row],[Units]]</f>
        <v>233.64000000000001</v>
      </c>
    </row>
    <row r="303" spans="3:9" x14ac:dyDescent="0.3">
      <c r="C303" t="s">
        <v>9</v>
      </c>
      <c r="D303" t="s">
        <v>35</v>
      </c>
      <c r="E303" t="s">
        <v>27</v>
      </c>
      <c r="F303" s="14">
        <v>2429</v>
      </c>
      <c r="G303" s="3">
        <v>144</v>
      </c>
      <c r="H303" s="17">
        <f>_xlfn.XLOOKUP(Data[[#This Row],[Product]],products[Product],products[Cost per unit])</f>
        <v>16.73</v>
      </c>
      <c r="I303" s="18">
        <f>Data[[#This Row],[Cost per unit]]*Data[[#This Row],[Units]]</f>
        <v>2409.12</v>
      </c>
    </row>
    <row r="304" spans="3:9" x14ac:dyDescent="0.3">
      <c r="C304" t="s">
        <v>9</v>
      </c>
      <c r="D304" t="s">
        <v>36</v>
      </c>
      <c r="E304" t="s">
        <v>25</v>
      </c>
      <c r="F304" s="14">
        <v>2142</v>
      </c>
      <c r="G304" s="3">
        <v>114</v>
      </c>
      <c r="H304" s="17">
        <f>_xlfn.XLOOKUP(Data[[#This Row],[Product]],products[Product],products[Cost per unit])</f>
        <v>13.15</v>
      </c>
      <c r="I304" s="18">
        <f>Data[[#This Row],[Cost per unit]]*Data[[#This Row],[Units]]</f>
        <v>1499.1000000000001</v>
      </c>
    </row>
    <row r="305" spans="3:9" x14ac:dyDescent="0.3">
      <c r="C305" t="s">
        <v>7</v>
      </c>
      <c r="D305" t="s">
        <v>37</v>
      </c>
      <c r="E305" t="s">
        <v>30</v>
      </c>
      <c r="F305" s="14">
        <v>6454</v>
      </c>
      <c r="G305" s="3">
        <v>54</v>
      </c>
      <c r="H305" s="17">
        <f>_xlfn.XLOOKUP(Data[[#This Row],[Product]],products[Product],products[Cost per unit])</f>
        <v>14.49</v>
      </c>
      <c r="I305" s="18">
        <f>Data[[#This Row],[Cost per unit]]*Data[[#This Row],[Units]]</f>
        <v>782.46</v>
      </c>
    </row>
    <row r="306" spans="3:9" x14ac:dyDescent="0.3">
      <c r="C306" t="s">
        <v>7</v>
      </c>
      <c r="D306" t="s">
        <v>37</v>
      </c>
      <c r="E306" t="s">
        <v>16</v>
      </c>
      <c r="F306" s="14">
        <v>4487</v>
      </c>
      <c r="G306" s="3">
        <v>333</v>
      </c>
      <c r="H306" s="17">
        <f>_xlfn.XLOOKUP(Data[[#This Row],[Product]],products[Product],products[Cost per unit])</f>
        <v>8.7899999999999991</v>
      </c>
      <c r="I306" s="18">
        <f>Data[[#This Row],[Cost per unit]]*Data[[#This Row],[Units]]</f>
        <v>2927.0699999999997</v>
      </c>
    </row>
    <row r="307" spans="3:9" x14ac:dyDescent="0.3">
      <c r="C307" t="s">
        <v>3</v>
      </c>
      <c r="D307" t="s">
        <v>37</v>
      </c>
      <c r="E307" t="s">
        <v>4</v>
      </c>
      <c r="F307" s="14">
        <v>938</v>
      </c>
      <c r="G307" s="3">
        <v>366</v>
      </c>
      <c r="H307" s="17">
        <f>_xlfn.XLOOKUP(Data[[#This Row],[Product]],products[Product],products[Cost per unit])</f>
        <v>11.88</v>
      </c>
      <c r="I307" s="18">
        <f>Data[[#This Row],[Cost per unit]]*Data[[#This Row],[Units]]</f>
        <v>4348.08</v>
      </c>
    </row>
    <row r="308" spans="3:9" x14ac:dyDescent="0.3">
      <c r="C308" t="s">
        <v>3</v>
      </c>
      <c r="D308" t="s">
        <v>38</v>
      </c>
      <c r="E308" t="s">
        <v>26</v>
      </c>
      <c r="F308" s="14">
        <v>8841</v>
      </c>
      <c r="G308" s="3">
        <v>303</v>
      </c>
      <c r="H308" s="17">
        <f>_xlfn.XLOOKUP(Data[[#This Row],[Product]],products[Product],products[Cost per unit])</f>
        <v>5.6</v>
      </c>
      <c r="I308" s="18">
        <f>Data[[#This Row],[Cost per unit]]*Data[[#This Row],[Units]]</f>
        <v>1696.8</v>
      </c>
    </row>
    <row r="309" spans="3:9" x14ac:dyDescent="0.3">
      <c r="C309" t="s">
        <v>2</v>
      </c>
      <c r="D309" t="s">
        <v>39</v>
      </c>
      <c r="E309" t="s">
        <v>33</v>
      </c>
      <c r="F309" s="14">
        <v>4018</v>
      </c>
      <c r="G309" s="3">
        <v>126</v>
      </c>
      <c r="H309" s="17">
        <f>_xlfn.XLOOKUP(Data[[#This Row],[Product]],products[Product],products[Cost per unit])</f>
        <v>12.37</v>
      </c>
      <c r="I309" s="18">
        <f>Data[[#This Row],[Cost per unit]]*Data[[#This Row],[Units]]</f>
        <v>1558.62</v>
      </c>
    </row>
    <row r="310" spans="3:9" x14ac:dyDescent="0.3">
      <c r="C310" t="s">
        <v>41</v>
      </c>
      <c r="D310" t="s">
        <v>37</v>
      </c>
      <c r="E310" t="s">
        <v>15</v>
      </c>
      <c r="F310" s="14">
        <v>714</v>
      </c>
      <c r="G310" s="3">
        <v>231</v>
      </c>
      <c r="H310" s="17">
        <f>_xlfn.XLOOKUP(Data[[#This Row],[Product]],products[Product],products[Cost per unit])</f>
        <v>11.73</v>
      </c>
      <c r="I310" s="18">
        <f>Data[[#This Row],[Cost per unit]]*Data[[#This Row],[Units]]</f>
        <v>2709.63</v>
      </c>
    </row>
    <row r="311" spans="3:9" x14ac:dyDescent="0.3">
      <c r="C311" t="s">
        <v>9</v>
      </c>
      <c r="D311" t="s">
        <v>38</v>
      </c>
      <c r="E311" t="s">
        <v>25</v>
      </c>
      <c r="F311" s="14">
        <v>3850</v>
      </c>
      <c r="G311" s="3">
        <v>102</v>
      </c>
      <c r="H311" s="17">
        <f>_xlfn.XLOOKUP(Data[[#This Row],[Product]],products[Product],products[Cost per unit])</f>
        <v>13.15</v>
      </c>
      <c r="I311" s="18">
        <f>Data[[#This Row],[Cost per unit]]*Data[[#This Row],[Units]]</f>
        <v>1341.3</v>
      </c>
    </row>
    <row r="312" spans="3:9" x14ac:dyDescent="0.3">
      <c r="F312" s="2"/>
      <c r="G312" s="3"/>
    </row>
    <row r="313" spans="3:9" x14ac:dyDescent="0.3">
      <c r="F313" s="2"/>
      <c r="G313" s="3"/>
    </row>
    <row r="314" spans="3:9" x14ac:dyDescent="0.3">
      <c r="F314" s="2"/>
      <c r="G314" s="3"/>
    </row>
    <row r="315" spans="3:9" x14ac:dyDescent="0.3">
      <c r="F315" s="2"/>
      <c r="G315" s="3"/>
    </row>
    <row r="316" spans="3:9" x14ac:dyDescent="0.3">
      <c r="F316" s="2"/>
      <c r="G316" s="3"/>
    </row>
    <row r="317" spans="3:9" x14ac:dyDescent="0.3">
      <c r="F317" s="2"/>
      <c r="G317" s="3"/>
    </row>
    <row r="318" spans="3:9" x14ac:dyDescent="0.3">
      <c r="F318" s="2"/>
      <c r="G318" s="3"/>
    </row>
    <row r="319" spans="3:9" x14ac:dyDescent="0.3">
      <c r="F319" s="2"/>
      <c r="G319" s="3"/>
    </row>
    <row r="320" spans="3:9" x14ac:dyDescent="0.3">
      <c r="F320" s="2"/>
      <c r="G320" s="3"/>
    </row>
    <row r="321" spans="6:7" x14ac:dyDescent="0.3">
      <c r="F321" s="2"/>
      <c r="G321" s="3"/>
    </row>
    <row r="322" spans="6:7" x14ac:dyDescent="0.3">
      <c r="F322" s="2"/>
      <c r="G322" s="3"/>
    </row>
    <row r="323" spans="6:7" x14ac:dyDescent="0.3">
      <c r="F323" s="2"/>
      <c r="G323" s="3"/>
    </row>
    <row r="324" spans="6:7" x14ac:dyDescent="0.3">
      <c r="F324" s="2"/>
      <c r="G324" s="3"/>
    </row>
    <row r="325" spans="6:7" x14ac:dyDescent="0.3">
      <c r="F325" s="2"/>
      <c r="G325" s="3"/>
    </row>
    <row r="326" spans="6:7" x14ac:dyDescent="0.3">
      <c r="F326" s="2"/>
      <c r="G326" s="3"/>
    </row>
    <row r="327" spans="6:7" x14ac:dyDescent="0.3">
      <c r="F327" s="2"/>
      <c r="G327" s="3"/>
    </row>
    <row r="328" spans="6:7" x14ac:dyDescent="0.3">
      <c r="F328" s="2"/>
      <c r="G328" s="3"/>
    </row>
    <row r="329" spans="6:7" x14ac:dyDescent="0.3">
      <c r="F329" s="2"/>
      <c r="G329" s="3"/>
    </row>
    <row r="330" spans="6:7" x14ac:dyDescent="0.3">
      <c r="F330" s="2"/>
      <c r="G330" s="3"/>
    </row>
    <row r="331" spans="6:7" x14ac:dyDescent="0.3">
      <c r="F331" s="2"/>
      <c r="G331" s="3"/>
    </row>
    <row r="332" spans="6:7" x14ac:dyDescent="0.3">
      <c r="F332" s="2"/>
      <c r="G332" s="3"/>
    </row>
    <row r="333" spans="6:7" x14ac:dyDescent="0.3">
      <c r="F333" s="2"/>
      <c r="G333" s="3"/>
    </row>
    <row r="334" spans="6:7" x14ac:dyDescent="0.3">
      <c r="F334" s="2"/>
      <c r="G334" s="3"/>
    </row>
    <row r="335" spans="6:7" x14ac:dyDescent="0.3">
      <c r="F335" s="2"/>
      <c r="G335" s="3"/>
    </row>
    <row r="336" spans="6:7" x14ac:dyDescent="0.3">
      <c r="F336" s="2"/>
      <c r="G336" s="3"/>
    </row>
    <row r="337" spans="6:7" x14ac:dyDescent="0.3">
      <c r="F337" s="2"/>
      <c r="G337" s="3"/>
    </row>
    <row r="338" spans="6:7" x14ac:dyDescent="0.3">
      <c r="F338" s="2"/>
      <c r="G338" s="3"/>
    </row>
    <row r="339" spans="6:7" x14ac:dyDescent="0.3">
      <c r="F339" s="2"/>
      <c r="G339" s="3"/>
    </row>
    <row r="340" spans="6:7" x14ac:dyDescent="0.3">
      <c r="F340" s="2"/>
      <c r="G340" s="3"/>
    </row>
    <row r="341" spans="6:7" x14ac:dyDescent="0.3">
      <c r="F341" s="2"/>
      <c r="G341" s="3"/>
    </row>
    <row r="342" spans="6:7" x14ac:dyDescent="0.3">
      <c r="F342" s="2"/>
      <c r="G342" s="3"/>
    </row>
    <row r="343" spans="6:7" x14ac:dyDescent="0.3">
      <c r="F343" s="2"/>
      <c r="G343" s="3"/>
    </row>
    <row r="344" spans="6:7" x14ac:dyDescent="0.3">
      <c r="F344" s="2"/>
      <c r="G344" s="3"/>
    </row>
    <row r="345" spans="6:7" x14ac:dyDescent="0.3">
      <c r="F345" s="2"/>
      <c r="G345" s="3"/>
    </row>
    <row r="346" spans="6:7" x14ac:dyDescent="0.3">
      <c r="F346" s="2"/>
      <c r="G346" s="3"/>
    </row>
    <row r="347" spans="6:7" x14ac:dyDescent="0.3">
      <c r="F347" s="2"/>
      <c r="G347" s="3"/>
    </row>
    <row r="348" spans="6:7" x14ac:dyDescent="0.3">
      <c r="F348" s="2"/>
      <c r="G348" s="3"/>
    </row>
    <row r="349" spans="6:7" x14ac:dyDescent="0.3">
      <c r="F349" s="2"/>
      <c r="G349" s="3"/>
    </row>
    <row r="350" spans="6:7" x14ac:dyDescent="0.3">
      <c r="F350" s="2"/>
      <c r="G350" s="3"/>
    </row>
    <row r="351" spans="6:7" x14ac:dyDescent="0.3">
      <c r="F351" s="2"/>
      <c r="G351" s="3"/>
    </row>
    <row r="352" spans="6:7" x14ac:dyDescent="0.3">
      <c r="F352" s="2"/>
      <c r="G352" s="3"/>
    </row>
    <row r="353" spans="6:7" x14ac:dyDescent="0.3">
      <c r="F353" s="2"/>
      <c r="G353" s="3"/>
    </row>
    <row r="354" spans="6:7" x14ac:dyDescent="0.3">
      <c r="F354" s="2"/>
      <c r="G354" s="3"/>
    </row>
    <row r="355" spans="6:7" x14ac:dyDescent="0.3">
      <c r="F355" s="2"/>
      <c r="G355" s="3"/>
    </row>
    <row r="356" spans="6:7" x14ac:dyDescent="0.3">
      <c r="F356" s="2"/>
      <c r="G356" s="3"/>
    </row>
    <row r="357" spans="6:7" x14ac:dyDescent="0.3">
      <c r="F357" s="2"/>
      <c r="G357" s="3"/>
    </row>
    <row r="358" spans="6:7" x14ac:dyDescent="0.3">
      <c r="F358" s="2"/>
      <c r="G358" s="3"/>
    </row>
    <row r="359" spans="6:7" x14ac:dyDescent="0.3">
      <c r="F359" s="2"/>
      <c r="G359" s="3"/>
    </row>
    <row r="360" spans="6:7" x14ac:dyDescent="0.3">
      <c r="F360" s="2"/>
      <c r="G360" s="3"/>
    </row>
    <row r="361" spans="6:7" x14ac:dyDescent="0.3">
      <c r="F361" s="2"/>
      <c r="G361" s="3"/>
    </row>
    <row r="362" spans="6:7" x14ac:dyDescent="0.3">
      <c r="F362" s="2"/>
      <c r="G362" s="3"/>
    </row>
    <row r="363" spans="6:7" x14ac:dyDescent="0.3">
      <c r="F363" s="2"/>
      <c r="G363" s="3"/>
    </row>
    <row r="364" spans="6:7" x14ac:dyDescent="0.3">
      <c r="F364" s="2"/>
      <c r="G364" s="3"/>
    </row>
    <row r="365" spans="6:7" x14ac:dyDescent="0.3">
      <c r="F365" s="2"/>
      <c r="G365" s="3"/>
    </row>
    <row r="366" spans="6:7" x14ac:dyDescent="0.3">
      <c r="F366" s="2"/>
      <c r="G366" s="3"/>
    </row>
    <row r="367" spans="6:7" x14ac:dyDescent="0.3">
      <c r="F367" s="2"/>
      <c r="G367" s="3"/>
    </row>
    <row r="368" spans="6:7" x14ac:dyDescent="0.3">
      <c r="F368" s="2"/>
      <c r="G368" s="3"/>
    </row>
    <row r="369" spans="6:7" x14ac:dyDescent="0.3">
      <c r="F369" s="2"/>
      <c r="G369" s="3"/>
    </row>
    <row r="370" spans="6:7" x14ac:dyDescent="0.3">
      <c r="F370" s="2"/>
      <c r="G370" s="3"/>
    </row>
    <row r="371" spans="6:7" x14ac:dyDescent="0.3">
      <c r="F371" s="2"/>
      <c r="G371" s="3"/>
    </row>
    <row r="372" spans="6:7" x14ac:dyDescent="0.3">
      <c r="F372" s="2"/>
      <c r="G372" s="3"/>
    </row>
    <row r="373" spans="6:7" x14ac:dyDescent="0.3">
      <c r="F373" s="2"/>
      <c r="G373" s="3"/>
    </row>
    <row r="374" spans="6:7" x14ac:dyDescent="0.3">
      <c r="F374" s="2"/>
      <c r="G374" s="3"/>
    </row>
    <row r="375" spans="6:7" x14ac:dyDescent="0.3">
      <c r="F375" s="2"/>
      <c r="G375" s="3"/>
    </row>
    <row r="376" spans="6:7" x14ac:dyDescent="0.3">
      <c r="F376" s="2"/>
      <c r="G376" s="3"/>
    </row>
    <row r="377" spans="6:7" x14ac:dyDescent="0.3">
      <c r="F377" s="2"/>
      <c r="G377" s="3"/>
    </row>
    <row r="378" spans="6:7" x14ac:dyDescent="0.3">
      <c r="F378" s="2"/>
      <c r="G378" s="3"/>
    </row>
    <row r="379" spans="6:7" x14ac:dyDescent="0.3">
      <c r="F379" s="2"/>
      <c r="G379" s="3"/>
    </row>
    <row r="380" spans="6:7" x14ac:dyDescent="0.3">
      <c r="F380" s="2"/>
      <c r="G380" s="3"/>
    </row>
    <row r="381" spans="6:7" x14ac:dyDescent="0.3">
      <c r="F381" s="2"/>
      <c r="G381" s="3"/>
    </row>
    <row r="382" spans="6:7" x14ac:dyDescent="0.3">
      <c r="F382" s="2"/>
      <c r="G382" s="3"/>
    </row>
    <row r="383" spans="6:7" x14ac:dyDescent="0.3">
      <c r="F383" s="2"/>
      <c r="G383" s="3"/>
    </row>
    <row r="384" spans="6:7" x14ac:dyDescent="0.3">
      <c r="F384" s="2"/>
      <c r="G384" s="3"/>
    </row>
    <row r="385" spans="6:7" x14ac:dyDescent="0.3">
      <c r="F385" s="2"/>
      <c r="G385" s="3"/>
    </row>
    <row r="386" spans="6:7" x14ac:dyDescent="0.3">
      <c r="F386" s="2"/>
      <c r="G386" s="3"/>
    </row>
    <row r="387" spans="6:7" x14ac:dyDescent="0.3">
      <c r="F387" s="2"/>
      <c r="G387" s="3"/>
    </row>
    <row r="388" spans="6:7" x14ac:dyDescent="0.3">
      <c r="F388" s="2"/>
      <c r="G388" s="3"/>
    </row>
    <row r="389" spans="6:7" x14ac:dyDescent="0.3">
      <c r="F389" s="2"/>
      <c r="G389" s="3"/>
    </row>
    <row r="390" spans="6:7" x14ac:dyDescent="0.3">
      <c r="F390" s="2"/>
      <c r="G390" s="3"/>
    </row>
    <row r="391" spans="6:7" x14ac:dyDescent="0.3">
      <c r="F391" s="2"/>
      <c r="G391" s="3"/>
    </row>
    <row r="392" spans="6:7" x14ac:dyDescent="0.3">
      <c r="F392" s="2"/>
      <c r="G392" s="3"/>
    </row>
    <row r="393" spans="6:7" x14ac:dyDescent="0.3">
      <c r="F393" s="2"/>
      <c r="G393" s="3"/>
    </row>
    <row r="394" spans="6:7" x14ac:dyDescent="0.3">
      <c r="F394" s="2"/>
      <c r="G394" s="3"/>
    </row>
    <row r="395" spans="6:7" x14ac:dyDescent="0.3">
      <c r="F395" s="2"/>
      <c r="G395" s="3"/>
    </row>
    <row r="396" spans="6:7" x14ac:dyDescent="0.3">
      <c r="F396" s="2"/>
      <c r="G396" s="3"/>
    </row>
    <row r="397" spans="6:7" x14ac:dyDescent="0.3">
      <c r="F397" s="2"/>
      <c r="G397" s="3"/>
    </row>
    <row r="398" spans="6:7" x14ac:dyDescent="0.3">
      <c r="F398" s="2"/>
      <c r="G398" s="3"/>
    </row>
    <row r="399" spans="6:7" x14ac:dyDescent="0.3">
      <c r="F399" s="2"/>
      <c r="G399" s="3"/>
    </row>
    <row r="400" spans="6:7" x14ac:dyDescent="0.3">
      <c r="F400" s="2"/>
      <c r="G400" s="3"/>
    </row>
    <row r="401" spans="6:7" x14ac:dyDescent="0.3">
      <c r="F401" s="2"/>
      <c r="G401" s="3"/>
    </row>
    <row r="402" spans="6:7" x14ac:dyDescent="0.3">
      <c r="F402" s="2"/>
      <c r="G402" s="3"/>
    </row>
    <row r="403" spans="6:7" x14ac:dyDescent="0.3">
      <c r="F403" s="2"/>
      <c r="G403" s="3"/>
    </row>
    <row r="404" spans="6:7" x14ac:dyDescent="0.3">
      <c r="F404" s="2"/>
      <c r="G404" s="3"/>
    </row>
    <row r="405" spans="6:7" x14ac:dyDescent="0.3">
      <c r="F405" s="2"/>
      <c r="G405" s="3"/>
    </row>
    <row r="406" spans="6:7" x14ac:dyDescent="0.3">
      <c r="F406" s="2"/>
      <c r="G406" s="3"/>
    </row>
    <row r="407" spans="6:7" x14ac:dyDescent="0.3">
      <c r="F407" s="2"/>
      <c r="G407" s="3"/>
    </row>
    <row r="408" spans="6:7" x14ac:dyDescent="0.3">
      <c r="F408" s="2"/>
      <c r="G408" s="3"/>
    </row>
    <row r="409" spans="6:7" x14ac:dyDescent="0.3">
      <c r="F409" s="2"/>
      <c r="G409" s="3"/>
    </row>
    <row r="410" spans="6:7" x14ac:dyDescent="0.3">
      <c r="F410" s="2"/>
      <c r="G410" s="3"/>
    </row>
    <row r="411" spans="6:7" x14ac:dyDescent="0.3">
      <c r="F411" s="2"/>
      <c r="G411" s="3"/>
    </row>
    <row r="412" spans="6:7" x14ac:dyDescent="0.3">
      <c r="F412" s="2"/>
      <c r="G412" s="3"/>
    </row>
    <row r="413" spans="6:7" x14ac:dyDescent="0.3">
      <c r="F413" s="2"/>
      <c r="G413" s="3"/>
    </row>
    <row r="414" spans="6:7" x14ac:dyDescent="0.3">
      <c r="F414" s="2"/>
      <c r="G414" s="3"/>
    </row>
    <row r="415" spans="6:7" x14ac:dyDescent="0.3">
      <c r="F415" s="2"/>
      <c r="G415" s="3"/>
    </row>
    <row r="416" spans="6:7" x14ac:dyDescent="0.3">
      <c r="F416" s="2"/>
      <c r="G416" s="3"/>
    </row>
    <row r="417" spans="6:7" x14ac:dyDescent="0.3">
      <c r="F417" s="2"/>
      <c r="G417" s="3"/>
    </row>
    <row r="418" spans="6:7" x14ac:dyDescent="0.3">
      <c r="F418" s="2"/>
      <c r="G418" s="3"/>
    </row>
    <row r="419" spans="6:7" x14ac:dyDescent="0.3">
      <c r="F419" s="2"/>
      <c r="G419" s="3"/>
    </row>
    <row r="420" spans="6:7" x14ac:dyDescent="0.3">
      <c r="F420" s="2"/>
      <c r="G420" s="3"/>
    </row>
    <row r="421" spans="6:7" x14ac:dyDescent="0.3">
      <c r="F421" s="2"/>
      <c r="G421" s="3"/>
    </row>
    <row r="422" spans="6:7" x14ac:dyDescent="0.3">
      <c r="F422" s="2"/>
      <c r="G422" s="3"/>
    </row>
    <row r="423" spans="6:7" x14ac:dyDescent="0.3">
      <c r="F423" s="2"/>
      <c r="G423" s="3"/>
    </row>
    <row r="424" spans="6:7" x14ac:dyDescent="0.3">
      <c r="F424" s="2"/>
      <c r="G424" s="3"/>
    </row>
    <row r="425" spans="6:7" x14ac:dyDescent="0.3">
      <c r="F425" s="2"/>
      <c r="G425" s="3"/>
    </row>
    <row r="426" spans="6:7" x14ac:dyDescent="0.3">
      <c r="F426" s="2"/>
      <c r="G426" s="3"/>
    </row>
    <row r="427" spans="6:7" x14ac:dyDescent="0.3">
      <c r="F427" s="2"/>
      <c r="G427" s="3"/>
    </row>
    <row r="428" spans="6:7" x14ac:dyDescent="0.3">
      <c r="F428" s="2"/>
      <c r="G428" s="3"/>
    </row>
    <row r="429" spans="6:7" x14ac:dyDescent="0.3">
      <c r="F429" s="2"/>
      <c r="G429" s="3"/>
    </row>
    <row r="430" spans="6:7" x14ac:dyDescent="0.3">
      <c r="F430" s="2"/>
      <c r="G430" s="3"/>
    </row>
    <row r="431" spans="6:7" x14ac:dyDescent="0.3">
      <c r="F431" s="2"/>
      <c r="G431" s="3"/>
    </row>
    <row r="432" spans="6:7" x14ac:dyDescent="0.3">
      <c r="F432" s="2"/>
      <c r="G432" s="3"/>
    </row>
    <row r="433" spans="6:7" x14ac:dyDescent="0.3">
      <c r="F433" s="2"/>
      <c r="G433" s="3"/>
    </row>
    <row r="434" spans="6:7" x14ac:dyDescent="0.3">
      <c r="F434" s="2"/>
      <c r="G434" s="3"/>
    </row>
    <row r="435" spans="6:7" x14ac:dyDescent="0.3">
      <c r="F435" s="2"/>
      <c r="G435" s="3"/>
    </row>
    <row r="436" spans="6:7" x14ac:dyDescent="0.3">
      <c r="F436" s="2"/>
      <c r="G436" s="3"/>
    </row>
    <row r="437" spans="6:7" x14ac:dyDescent="0.3">
      <c r="F437" s="2"/>
      <c r="G437" s="3"/>
    </row>
    <row r="438" spans="6:7" x14ac:dyDescent="0.3">
      <c r="F438" s="2"/>
      <c r="G438" s="3"/>
    </row>
    <row r="439" spans="6:7" x14ac:dyDescent="0.3">
      <c r="F439" s="2"/>
      <c r="G439" s="3"/>
    </row>
    <row r="440" spans="6:7" x14ac:dyDescent="0.3">
      <c r="F440" s="2"/>
      <c r="G440" s="3"/>
    </row>
    <row r="441" spans="6:7" x14ac:dyDescent="0.3">
      <c r="F441" s="2"/>
      <c r="G441" s="3"/>
    </row>
    <row r="442" spans="6:7" x14ac:dyDescent="0.3">
      <c r="F442" s="2"/>
      <c r="G442" s="3"/>
    </row>
    <row r="443" spans="6:7" x14ac:dyDescent="0.3">
      <c r="F443" s="2"/>
      <c r="G443" s="3"/>
    </row>
    <row r="444" spans="6:7" x14ac:dyDescent="0.3">
      <c r="F444" s="2"/>
      <c r="G444" s="3"/>
    </row>
    <row r="445" spans="6:7" x14ac:dyDescent="0.3">
      <c r="F445" s="2"/>
      <c r="G445" s="3"/>
    </row>
    <row r="446" spans="6:7" x14ac:dyDescent="0.3">
      <c r="F446" s="2"/>
      <c r="G446" s="3"/>
    </row>
    <row r="447" spans="6:7" x14ac:dyDescent="0.3">
      <c r="F447" s="2"/>
      <c r="G447" s="3"/>
    </row>
    <row r="448" spans="6:7" x14ac:dyDescent="0.3">
      <c r="F448" s="2"/>
      <c r="G448" s="3"/>
    </row>
    <row r="449" spans="6:7" x14ac:dyDescent="0.3">
      <c r="F449" s="2"/>
      <c r="G449" s="3"/>
    </row>
    <row r="450" spans="6:7" x14ac:dyDescent="0.3">
      <c r="F450" s="2"/>
      <c r="G450" s="3"/>
    </row>
    <row r="451" spans="6:7" x14ac:dyDescent="0.3">
      <c r="F451" s="2"/>
      <c r="G451" s="3"/>
    </row>
    <row r="452" spans="6:7" x14ac:dyDescent="0.3">
      <c r="F452" s="2"/>
      <c r="G452" s="3"/>
    </row>
    <row r="453" spans="6:7" x14ac:dyDescent="0.3">
      <c r="F453" s="2"/>
      <c r="G453" s="3"/>
    </row>
    <row r="454" spans="6:7" x14ac:dyDescent="0.3">
      <c r="F454" s="2"/>
      <c r="G454" s="3"/>
    </row>
    <row r="455" spans="6:7" x14ac:dyDescent="0.3">
      <c r="F455" s="2"/>
      <c r="G455" s="3"/>
    </row>
    <row r="456" spans="6:7" x14ac:dyDescent="0.3">
      <c r="F456" s="2"/>
      <c r="G456" s="3"/>
    </row>
    <row r="457" spans="6:7" x14ac:dyDescent="0.3">
      <c r="F457" s="2"/>
      <c r="G457" s="3"/>
    </row>
    <row r="458" spans="6:7" x14ac:dyDescent="0.3">
      <c r="F458" s="2"/>
      <c r="G458" s="3"/>
    </row>
    <row r="459" spans="6:7" x14ac:dyDescent="0.3">
      <c r="F459" s="2"/>
      <c r="G459" s="3"/>
    </row>
    <row r="460" spans="6:7" x14ac:dyDescent="0.3">
      <c r="F460" s="2"/>
      <c r="G460" s="3"/>
    </row>
    <row r="461" spans="6:7" x14ac:dyDescent="0.3">
      <c r="F461" s="2"/>
      <c r="G461" s="3"/>
    </row>
    <row r="462" spans="6:7" x14ac:dyDescent="0.3">
      <c r="F462" s="2"/>
      <c r="G462" s="3"/>
    </row>
    <row r="463" spans="6:7" x14ac:dyDescent="0.3">
      <c r="F463" s="2"/>
      <c r="G463" s="3"/>
    </row>
    <row r="464" spans="6:7" x14ac:dyDescent="0.3">
      <c r="F464" s="2"/>
      <c r="G464" s="3"/>
    </row>
    <row r="465" spans="6:7" x14ac:dyDescent="0.3">
      <c r="F465" s="2"/>
      <c r="G465" s="3"/>
    </row>
    <row r="466" spans="6:7" x14ac:dyDescent="0.3">
      <c r="F466" s="2"/>
      <c r="G466" s="3"/>
    </row>
    <row r="467" spans="6:7" x14ac:dyDescent="0.3">
      <c r="F467" s="2"/>
      <c r="G467" s="3"/>
    </row>
    <row r="468" spans="6:7" x14ac:dyDescent="0.3">
      <c r="F468" s="2"/>
      <c r="G468" s="3"/>
    </row>
    <row r="469" spans="6:7" x14ac:dyDescent="0.3">
      <c r="F469" s="2"/>
      <c r="G469" s="3"/>
    </row>
    <row r="470" spans="6:7" x14ac:dyDescent="0.3">
      <c r="F470" s="2"/>
      <c r="G470" s="3"/>
    </row>
    <row r="471" spans="6:7" x14ac:dyDescent="0.3">
      <c r="F471" s="2"/>
      <c r="G471" s="3"/>
    </row>
    <row r="472" spans="6:7" x14ac:dyDescent="0.3">
      <c r="F472" s="2"/>
      <c r="G472" s="3"/>
    </row>
    <row r="473" spans="6:7" x14ac:dyDescent="0.3">
      <c r="F473" s="2"/>
      <c r="G473" s="3"/>
    </row>
    <row r="474" spans="6:7" x14ac:dyDescent="0.3">
      <c r="F474" s="2"/>
      <c r="G474" s="3"/>
    </row>
    <row r="475" spans="6:7" x14ac:dyDescent="0.3">
      <c r="F475" s="2"/>
      <c r="G475" s="3"/>
    </row>
    <row r="476" spans="6:7" x14ac:dyDescent="0.3">
      <c r="F476" s="2"/>
      <c r="G476" s="3"/>
    </row>
    <row r="477" spans="6:7" x14ac:dyDescent="0.3">
      <c r="F477" s="2"/>
      <c r="G477" s="3"/>
    </row>
    <row r="478" spans="6:7" x14ac:dyDescent="0.3">
      <c r="F478" s="2"/>
      <c r="G478" s="3"/>
    </row>
    <row r="479" spans="6:7" x14ac:dyDescent="0.3">
      <c r="F479" s="2"/>
      <c r="G479" s="3"/>
    </row>
    <row r="480" spans="6:7" x14ac:dyDescent="0.3">
      <c r="F480" s="2"/>
      <c r="G480" s="3"/>
    </row>
    <row r="481" spans="6:7" x14ac:dyDescent="0.3">
      <c r="F481" s="2"/>
      <c r="G481" s="3"/>
    </row>
    <row r="482" spans="6:7" x14ac:dyDescent="0.3">
      <c r="F482" s="2"/>
      <c r="G482" s="3"/>
    </row>
    <row r="483" spans="6:7" x14ac:dyDescent="0.3">
      <c r="F483" s="2"/>
      <c r="G483" s="3"/>
    </row>
    <row r="484" spans="6:7" x14ac:dyDescent="0.3">
      <c r="F484" s="2"/>
      <c r="G484" s="3"/>
    </row>
    <row r="485" spans="6:7" x14ac:dyDescent="0.3">
      <c r="F485" s="2"/>
      <c r="G485" s="3"/>
    </row>
    <row r="486" spans="6:7" x14ac:dyDescent="0.3">
      <c r="F486" s="2"/>
      <c r="G486" s="3"/>
    </row>
    <row r="487" spans="6:7" x14ac:dyDescent="0.3">
      <c r="F487" s="2"/>
      <c r="G487" s="3"/>
    </row>
    <row r="488" spans="6:7" x14ac:dyDescent="0.3">
      <c r="F488" s="2"/>
      <c r="G488" s="3"/>
    </row>
    <row r="489" spans="6:7" x14ac:dyDescent="0.3">
      <c r="F489" s="2"/>
      <c r="G489" s="3"/>
    </row>
    <row r="490" spans="6:7" x14ac:dyDescent="0.3">
      <c r="F490" s="2"/>
      <c r="G490" s="3"/>
    </row>
    <row r="491" spans="6:7" x14ac:dyDescent="0.3">
      <c r="F491" s="2"/>
      <c r="G491" s="3"/>
    </row>
    <row r="492" spans="6:7" x14ac:dyDescent="0.3">
      <c r="F492" s="2"/>
      <c r="G492" s="3"/>
    </row>
    <row r="493" spans="6:7" x14ac:dyDescent="0.3">
      <c r="F493" s="2"/>
      <c r="G493" s="3"/>
    </row>
    <row r="494" spans="6:7" x14ac:dyDescent="0.3">
      <c r="F494" s="2"/>
      <c r="G494" s="3"/>
    </row>
    <row r="495" spans="6:7" x14ac:dyDescent="0.3">
      <c r="F495" s="2"/>
      <c r="G495" s="3"/>
    </row>
    <row r="496" spans="6:7" x14ac:dyDescent="0.3">
      <c r="F496" s="2"/>
      <c r="G496" s="3"/>
    </row>
    <row r="497" spans="6:7" x14ac:dyDescent="0.3">
      <c r="F497" s="2"/>
      <c r="G497" s="3"/>
    </row>
    <row r="498" spans="6:7" x14ac:dyDescent="0.3">
      <c r="F498" s="2"/>
      <c r="G498" s="3"/>
    </row>
    <row r="499" spans="6:7" x14ac:dyDescent="0.3">
      <c r="F499" s="2"/>
      <c r="G499" s="3"/>
    </row>
    <row r="500" spans="6:7" x14ac:dyDescent="0.3">
      <c r="F500" s="2"/>
      <c r="G500" s="3"/>
    </row>
    <row r="501" spans="6:7" x14ac:dyDescent="0.3">
      <c r="F501" s="2"/>
      <c r="G501" s="3"/>
    </row>
    <row r="502" spans="6:7" x14ac:dyDescent="0.3">
      <c r="F502" s="2"/>
      <c r="G502" s="3"/>
    </row>
    <row r="503" spans="6:7" x14ac:dyDescent="0.3">
      <c r="F503" s="2"/>
      <c r="G503" s="3"/>
    </row>
    <row r="504" spans="6:7" x14ac:dyDescent="0.3">
      <c r="F504" s="2"/>
      <c r="G504" s="3"/>
    </row>
    <row r="505" spans="6:7" x14ac:dyDescent="0.3">
      <c r="F505" s="2"/>
      <c r="G505" s="3"/>
    </row>
    <row r="506" spans="6:7" x14ac:dyDescent="0.3">
      <c r="F506" s="2"/>
      <c r="G506" s="3"/>
    </row>
    <row r="507" spans="6:7" x14ac:dyDescent="0.3">
      <c r="F507" s="2"/>
      <c r="G507" s="3"/>
    </row>
    <row r="508" spans="6:7" x14ac:dyDescent="0.3">
      <c r="F508" s="2"/>
      <c r="G508" s="3"/>
    </row>
    <row r="509" spans="6:7" x14ac:dyDescent="0.3">
      <c r="F509" s="2"/>
      <c r="G509" s="3"/>
    </row>
    <row r="510" spans="6:7" x14ac:dyDescent="0.3">
      <c r="F510" s="2"/>
      <c r="G510" s="3"/>
    </row>
    <row r="511" spans="6:7" x14ac:dyDescent="0.3">
      <c r="F511" s="2"/>
      <c r="G511" s="3"/>
    </row>
    <row r="512" spans="6:7" x14ac:dyDescent="0.3">
      <c r="F512" s="2"/>
      <c r="G512" s="3"/>
    </row>
    <row r="513" spans="6:7" x14ac:dyDescent="0.3">
      <c r="F513" s="2"/>
      <c r="G513" s="3"/>
    </row>
    <row r="514" spans="6:7" x14ac:dyDescent="0.3">
      <c r="F514" s="2"/>
      <c r="G514" s="3"/>
    </row>
    <row r="515" spans="6:7" x14ac:dyDescent="0.3">
      <c r="F515" s="2"/>
      <c r="G515" s="3"/>
    </row>
    <row r="516" spans="6:7" x14ac:dyDescent="0.3">
      <c r="F516" s="2"/>
      <c r="G516" s="3"/>
    </row>
    <row r="517" spans="6:7" x14ac:dyDescent="0.3">
      <c r="F517" s="2"/>
      <c r="G517" s="3"/>
    </row>
    <row r="518" spans="6:7" x14ac:dyDescent="0.3">
      <c r="F518" s="2"/>
      <c r="G518" s="3"/>
    </row>
    <row r="519" spans="6:7" x14ac:dyDescent="0.3">
      <c r="F519" s="2"/>
      <c r="G519" s="3"/>
    </row>
    <row r="520" spans="6:7" x14ac:dyDescent="0.3">
      <c r="F520" s="2"/>
      <c r="G520" s="3"/>
    </row>
    <row r="521" spans="6:7" x14ac:dyDescent="0.3">
      <c r="F521" s="2"/>
      <c r="G521" s="3"/>
    </row>
    <row r="522" spans="6:7" x14ac:dyDescent="0.3">
      <c r="F522" s="2"/>
      <c r="G522" s="3"/>
    </row>
    <row r="523" spans="6:7" x14ac:dyDescent="0.3">
      <c r="F523" s="2"/>
      <c r="G523" s="3"/>
    </row>
    <row r="524" spans="6:7" x14ac:dyDescent="0.3">
      <c r="F524" s="2"/>
      <c r="G524" s="3"/>
    </row>
    <row r="525" spans="6:7" x14ac:dyDescent="0.3">
      <c r="F525" s="2"/>
      <c r="G525" s="3"/>
    </row>
    <row r="526" spans="6:7" x14ac:dyDescent="0.3">
      <c r="F526" s="2"/>
      <c r="G526" s="3"/>
    </row>
    <row r="527" spans="6:7" x14ac:dyDescent="0.3">
      <c r="F527" s="2"/>
      <c r="G527" s="3"/>
    </row>
    <row r="528" spans="6:7" x14ac:dyDescent="0.3">
      <c r="F528" s="2"/>
      <c r="G528" s="3"/>
    </row>
    <row r="529" spans="6:7" x14ac:dyDescent="0.3">
      <c r="F529" s="2"/>
      <c r="G529" s="3"/>
    </row>
    <row r="530" spans="6:7" x14ac:dyDescent="0.3">
      <c r="F530" s="2"/>
      <c r="G530" s="3"/>
    </row>
    <row r="531" spans="6:7" x14ac:dyDescent="0.3">
      <c r="F531" s="2"/>
      <c r="G531" s="3"/>
    </row>
    <row r="532" spans="6:7" x14ac:dyDescent="0.3">
      <c r="F532" s="2"/>
      <c r="G532" s="3"/>
    </row>
    <row r="533" spans="6:7" x14ac:dyDescent="0.3">
      <c r="F533" s="2"/>
      <c r="G533" s="3"/>
    </row>
    <row r="534" spans="6:7" x14ac:dyDescent="0.3">
      <c r="F534" s="2"/>
      <c r="G534" s="3"/>
    </row>
    <row r="535" spans="6:7" x14ac:dyDescent="0.3">
      <c r="F535" s="2"/>
      <c r="G535" s="3"/>
    </row>
    <row r="536" spans="6:7" x14ac:dyDescent="0.3">
      <c r="F536" s="2"/>
      <c r="G536" s="3"/>
    </row>
    <row r="537" spans="6:7" x14ac:dyDescent="0.3">
      <c r="F537" s="2"/>
      <c r="G537" s="3"/>
    </row>
    <row r="538" spans="6:7" x14ac:dyDescent="0.3">
      <c r="F538" s="2"/>
      <c r="G538" s="3"/>
    </row>
    <row r="539" spans="6:7" x14ac:dyDescent="0.3">
      <c r="F539" s="2"/>
      <c r="G539" s="3"/>
    </row>
    <row r="540" spans="6:7" x14ac:dyDescent="0.3">
      <c r="F540" s="2"/>
      <c r="G540" s="3"/>
    </row>
    <row r="541" spans="6:7" x14ac:dyDescent="0.3">
      <c r="F541" s="2"/>
      <c r="G541" s="3"/>
    </row>
    <row r="542" spans="6:7" x14ac:dyDescent="0.3">
      <c r="F542" s="2"/>
      <c r="G542" s="3"/>
    </row>
    <row r="543" spans="6:7" x14ac:dyDescent="0.3">
      <c r="F543" s="2"/>
      <c r="G543" s="3"/>
    </row>
    <row r="544" spans="6:7" x14ac:dyDescent="0.3">
      <c r="F544" s="2"/>
      <c r="G544" s="3"/>
    </row>
    <row r="545" spans="6:7" x14ac:dyDescent="0.3">
      <c r="F545" s="2"/>
      <c r="G545" s="3"/>
    </row>
    <row r="546" spans="6:7" x14ac:dyDescent="0.3">
      <c r="F546" s="2"/>
      <c r="G546" s="3"/>
    </row>
    <row r="547" spans="6:7" x14ac:dyDescent="0.3">
      <c r="F547" s="2"/>
      <c r="G547" s="3"/>
    </row>
    <row r="548" spans="6:7" x14ac:dyDescent="0.3">
      <c r="F548" s="2"/>
      <c r="G548" s="3"/>
    </row>
    <row r="549" spans="6:7" x14ac:dyDescent="0.3">
      <c r="F549" s="2"/>
      <c r="G549" s="3"/>
    </row>
    <row r="550" spans="6:7" x14ac:dyDescent="0.3">
      <c r="F550" s="2"/>
      <c r="G550" s="3"/>
    </row>
    <row r="551" spans="6:7" x14ac:dyDescent="0.3">
      <c r="F551" s="2"/>
      <c r="G551" s="3"/>
    </row>
    <row r="552" spans="6:7" x14ac:dyDescent="0.3">
      <c r="F552" s="2"/>
      <c r="G552" s="3"/>
    </row>
    <row r="553" spans="6:7" x14ac:dyDescent="0.3">
      <c r="F553" s="2"/>
      <c r="G553" s="3"/>
    </row>
    <row r="554" spans="6:7" x14ac:dyDescent="0.3">
      <c r="F554" s="2"/>
      <c r="G554" s="3"/>
    </row>
    <row r="555" spans="6:7" x14ac:dyDescent="0.3">
      <c r="F555" s="2"/>
      <c r="G555" s="3"/>
    </row>
    <row r="556" spans="6:7" x14ac:dyDescent="0.3">
      <c r="F556" s="2"/>
      <c r="G556" s="3"/>
    </row>
    <row r="557" spans="6:7" x14ac:dyDescent="0.3">
      <c r="F557" s="2"/>
      <c r="G557" s="3"/>
    </row>
    <row r="558" spans="6:7" x14ac:dyDescent="0.3">
      <c r="F558" s="2"/>
      <c r="G558" s="3"/>
    </row>
    <row r="559" spans="6:7" x14ac:dyDescent="0.3">
      <c r="F559" s="2"/>
      <c r="G559" s="3"/>
    </row>
    <row r="560" spans="6:7" x14ac:dyDescent="0.3">
      <c r="F560" s="2"/>
      <c r="G560" s="3"/>
    </row>
    <row r="561" spans="6:7" x14ac:dyDescent="0.3">
      <c r="F561" s="2"/>
      <c r="G561" s="3"/>
    </row>
    <row r="562" spans="6:7" x14ac:dyDescent="0.3">
      <c r="F562" s="2"/>
      <c r="G562" s="3"/>
    </row>
    <row r="563" spans="6:7" x14ac:dyDescent="0.3">
      <c r="F563" s="2"/>
      <c r="G563" s="3"/>
    </row>
    <row r="564" spans="6:7" x14ac:dyDescent="0.3">
      <c r="F564" s="2"/>
      <c r="G564" s="3"/>
    </row>
    <row r="565" spans="6:7" x14ac:dyDescent="0.3">
      <c r="F565" s="2"/>
      <c r="G565" s="3"/>
    </row>
    <row r="566" spans="6:7" x14ac:dyDescent="0.3">
      <c r="F566" s="2"/>
      <c r="G566" s="3"/>
    </row>
    <row r="567" spans="6:7" x14ac:dyDescent="0.3">
      <c r="F567" s="2"/>
      <c r="G567" s="3"/>
    </row>
    <row r="568" spans="6:7" x14ac:dyDescent="0.3">
      <c r="F568" s="2"/>
      <c r="G568" s="3"/>
    </row>
    <row r="569" spans="6:7" x14ac:dyDescent="0.3">
      <c r="F569" s="2"/>
      <c r="G569" s="3"/>
    </row>
    <row r="570" spans="6:7" x14ac:dyDescent="0.3">
      <c r="F570" s="2"/>
      <c r="G570" s="3"/>
    </row>
    <row r="571" spans="6:7" x14ac:dyDescent="0.3">
      <c r="F571" s="2"/>
      <c r="G571" s="3"/>
    </row>
    <row r="572" spans="6:7" x14ac:dyDescent="0.3">
      <c r="F572" s="2"/>
      <c r="G572" s="3"/>
    </row>
    <row r="573" spans="6:7" x14ac:dyDescent="0.3">
      <c r="F573" s="2"/>
      <c r="G573" s="3"/>
    </row>
    <row r="574" spans="6:7" x14ac:dyDescent="0.3">
      <c r="F574" s="2"/>
      <c r="G574" s="3"/>
    </row>
    <row r="575" spans="6:7" x14ac:dyDescent="0.3">
      <c r="F575" s="2"/>
      <c r="G575" s="3"/>
    </row>
    <row r="576" spans="6:7" x14ac:dyDescent="0.3">
      <c r="F576" s="2"/>
      <c r="G576" s="3"/>
    </row>
    <row r="577" spans="6:7" x14ac:dyDescent="0.3">
      <c r="F577" s="2"/>
      <c r="G577" s="3"/>
    </row>
    <row r="578" spans="6:7" x14ac:dyDescent="0.3">
      <c r="F578" s="2"/>
      <c r="G578" s="3"/>
    </row>
    <row r="579" spans="6:7" x14ac:dyDescent="0.3">
      <c r="F579" s="2"/>
      <c r="G579" s="3"/>
    </row>
    <row r="580" spans="6:7" x14ac:dyDescent="0.3">
      <c r="F580" s="2"/>
      <c r="G580" s="3"/>
    </row>
    <row r="581" spans="6:7" x14ac:dyDescent="0.3">
      <c r="F581" s="2"/>
      <c r="G581" s="3"/>
    </row>
    <row r="582" spans="6:7" x14ac:dyDescent="0.3">
      <c r="F582" s="2"/>
      <c r="G582" s="3"/>
    </row>
    <row r="583" spans="6:7" x14ac:dyDescent="0.3">
      <c r="F583" s="2"/>
      <c r="G583" s="3"/>
    </row>
    <row r="584" spans="6:7" x14ac:dyDescent="0.3">
      <c r="F584" s="2"/>
      <c r="G584" s="3"/>
    </row>
    <row r="585" spans="6:7" x14ac:dyDescent="0.3">
      <c r="F585" s="2"/>
      <c r="G585" s="3"/>
    </row>
    <row r="586" spans="6:7" x14ac:dyDescent="0.3">
      <c r="F586" s="2"/>
      <c r="G586" s="3"/>
    </row>
    <row r="587" spans="6:7" x14ac:dyDescent="0.3">
      <c r="F587" s="2"/>
      <c r="G587" s="3"/>
    </row>
    <row r="588" spans="6:7" x14ac:dyDescent="0.3">
      <c r="F588" s="2"/>
      <c r="G588" s="3"/>
    </row>
    <row r="589" spans="6:7" x14ac:dyDescent="0.3">
      <c r="F589" s="2"/>
      <c r="G589" s="3"/>
    </row>
    <row r="590" spans="6:7" x14ac:dyDescent="0.3">
      <c r="F590" s="2"/>
      <c r="G590" s="3"/>
    </row>
    <row r="591" spans="6:7" x14ac:dyDescent="0.3">
      <c r="F591" s="2"/>
      <c r="G591" s="3"/>
    </row>
    <row r="592" spans="6:7" x14ac:dyDescent="0.3">
      <c r="F592" s="2"/>
      <c r="G592" s="3"/>
    </row>
    <row r="593" spans="6:7" x14ac:dyDescent="0.3">
      <c r="F593" s="2"/>
      <c r="G593" s="3"/>
    </row>
    <row r="594" spans="6:7" x14ac:dyDescent="0.3">
      <c r="F594" s="2"/>
      <c r="G594" s="3"/>
    </row>
    <row r="595" spans="6:7" x14ac:dyDescent="0.3">
      <c r="F595" s="2"/>
      <c r="G595" s="3"/>
    </row>
    <row r="596" spans="6:7" x14ac:dyDescent="0.3">
      <c r="F596" s="2"/>
      <c r="G596" s="3"/>
    </row>
    <row r="597" spans="6:7" x14ac:dyDescent="0.3">
      <c r="F597" s="2"/>
      <c r="G597" s="3"/>
    </row>
    <row r="598" spans="6:7" x14ac:dyDescent="0.3">
      <c r="F598" s="2"/>
      <c r="G598" s="3"/>
    </row>
    <row r="599" spans="6:7" x14ac:dyDescent="0.3">
      <c r="F599" s="2"/>
      <c r="G599" s="3"/>
    </row>
    <row r="600" spans="6:7" x14ac:dyDescent="0.3">
      <c r="F600" s="2"/>
      <c r="G600" s="3"/>
    </row>
    <row r="601" spans="6:7" x14ac:dyDescent="0.3">
      <c r="F601" s="2"/>
      <c r="G601" s="3"/>
    </row>
    <row r="602" spans="6:7" x14ac:dyDescent="0.3">
      <c r="F602" s="2"/>
      <c r="G602" s="3"/>
    </row>
    <row r="603" spans="6:7" x14ac:dyDescent="0.3">
      <c r="F603" s="2"/>
      <c r="G603" s="3"/>
    </row>
    <row r="604" spans="6:7" x14ac:dyDescent="0.3">
      <c r="F604" s="2"/>
      <c r="G604" s="3"/>
    </row>
    <row r="605" spans="6:7" x14ac:dyDescent="0.3">
      <c r="F605" s="2"/>
      <c r="G605" s="3"/>
    </row>
    <row r="606" spans="6:7" x14ac:dyDescent="0.3">
      <c r="F606" s="2"/>
      <c r="G606" s="3"/>
    </row>
    <row r="607" spans="6:7" x14ac:dyDescent="0.3">
      <c r="F607" s="2"/>
      <c r="G607" s="3"/>
    </row>
    <row r="608" spans="6:7" x14ac:dyDescent="0.3">
      <c r="F608" s="2"/>
      <c r="G608" s="3"/>
    </row>
    <row r="609" spans="6:7" x14ac:dyDescent="0.3">
      <c r="F609" s="2"/>
      <c r="G609" s="3"/>
    </row>
    <row r="610" spans="6:7" x14ac:dyDescent="0.3">
      <c r="F610" s="2"/>
      <c r="G610" s="3"/>
    </row>
    <row r="611" spans="6:7" x14ac:dyDescent="0.3">
      <c r="F611" s="2"/>
      <c r="G611" s="3"/>
    </row>
    <row r="612" spans="6:7" x14ac:dyDescent="0.3">
      <c r="F612" s="2"/>
      <c r="G612" s="3"/>
    </row>
    <row r="613" spans="6:7" x14ac:dyDescent="0.3">
      <c r="F613" s="2"/>
      <c r="G613" s="3"/>
    </row>
    <row r="614" spans="6:7" x14ac:dyDescent="0.3">
      <c r="F614" s="2"/>
      <c r="G614" s="3"/>
    </row>
    <row r="615" spans="6:7" x14ac:dyDescent="0.3">
      <c r="F615" s="2"/>
      <c r="G615" s="3"/>
    </row>
    <row r="616" spans="6:7" x14ac:dyDescent="0.3">
      <c r="F616" s="2"/>
      <c r="G616" s="3"/>
    </row>
    <row r="617" spans="6:7" x14ac:dyDescent="0.3">
      <c r="F617" s="2"/>
      <c r="G617" s="3"/>
    </row>
    <row r="618" spans="6:7" x14ac:dyDescent="0.3">
      <c r="F618" s="2"/>
      <c r="G618" s="3"/>
    </row>
    <row r="619" spans="6:7" x14ac:dyDescent="0.3">
      <c r="F619" s="2"/>
      <c r="G619" s="3"/>
    </row>
    <row r="620" spans="6:7" x14ac:dyDescent="0.3">
      <c r="F620" s="2"/>
      <c r="G620" s="3"/>
    </row>
    <row r="621" spans="6:7" x14ac:dyDescent="0.3">
      <c r="F621" s="2"/>
      <c r="G621" s="3"/>
    </row>
    <row r="622" spans="6:7" x14ac:dyDescent="0.3">
      <c r="F622" s="2"/>
      <c r="G622" s="3"/>
    </row>
    <row r="623" spans="6:7" x14ac:dyDescent="0.3">
      <c r="F623" s="2"/>
      <c r="G623" s="3"/>
    </row>
    <row r="624" spans="6:7" x14ac:dyDescent="0.3">
      <c r="F624" s="2"/>
      <c r="G624" s="3"/>
    </row>
    <row r="625" spans="6:7" x14ac:dyDescent="0.3">
      <c r="F625" s="2"/>
      <c r="G625" s="3"/>
    </row>
    <row r="626" spans="6:7" x14ac:dyDescent="0.3">
      <c r="F626" s="2"/>
      <c r="G626" s="3"/>
    </row>
    <row r="627" spans="6:7" x14ac:dyDescent="0.3">
      <c r="F627" s="2"/>
      <c r="G627" s="3"/>
    </row>
    <row r="628" spans="6:7" x14ac:dyDescent="0.3">
      <c r="F628" s="2"/>
      <c r="G628" s="3"/>
    </row>
    <row r="629" spans="6:7" x14ac:dyDescent="0.3">
      <c r="F629" s="2"/>
      <c r="G629" s="3"/>
    </row>
    <row r="630" spans="6:7" x14ac:dyDescent="0.3">
      <c r="F630" s="2"/>
      <c r="G630" s="3"/>
    </row>
    <row r="631" spans="6:7" x14ac:dyDescent="0.3">
      <c r="F631" s="2"/>
      <c r="G631" s="3"/>
    </row>
    <row r="632" spans="6:7" x14ac:dyDescent="0.3">
      <c r="F632" s="2"/>
      <c r="G632" s="3"/>
    </row>
    <row r="633" spans="6:7" x14ac:dyDescent="0.3">
      <c r="F633" s="2"/>
      <c r="G633" s="3"/>
    </row>
    <row r="634" spans="6:7" x14ac:dyDescent="0.3">
      <c r="F634" s="2"/>
      <c r="G634" s="3"/>
    </row>
    <row r="635" spans="6:7" x14ac:dyDescent="0.3">
      <c r="F635" s="2"/>
      <c r="G635" s="3"/>
    </row>
    <row r="636" spans="6:7" x14ac:dyDescent="0.3">
      <c r="F636" s="2"/>
      <c r="G636" s="3"/>
    </row>
    <row r="637" spans="6:7" x14ac:dyDescent="0.3">
      <c r="F637" s="2"/>
      <c r="G637" s="3"/>
    </row>
    <row r="638" spans="6:7" x14ac:dyDescent="0.3">
      <c r="F638" s="2"/>
      <c r="G638" s="3"/>
    </row>
    <row r="639" spans="6:7" x14ac:dyDescent="0.3">
      <c r="F639" s="2"/>
      <c r="G639" s="3"/>
    </row>
    <row r="640" spans="6:7" x14ac:dyDescent="0.3">
      <c r="F640" s="2"/>
      <c r="G640" s="3"/>
    </row>
    <row r="641" spans="6:7" x14ac:dyDescent="0.3">
      <c r="F641" s="2"/>
      <c r="G641" s="3"/>
    </row>
    <row r="642" spans="6:7" x14ac:dyDescent="0.3">
      <c r="F642" s="2"/>
      <c r="G642" s="3"/>
    </row>
    <row r="643" spans="6:7" x14ac:dyDescent="0.3">
      <c r="F643" s="2"/>
      <c r="G643" s="3"/>
    </row>
    <row r="644" spans="6:7" x14ac:dyDescent="0.3">
      <c r="F644" s="2"/>
      <c r="G644" s="3"/>
    </row>
    <row r="645" spans="6:7" x14ac:dyDescent="0.3">
      <c r="F645" s="2"/>
      <c r="G645" s="3"/>
    </row>
    <row r="646" spans="6:7" x14ac:dyDescent="0.3">
      <c r="F646" s="2"/>
      <c r="G646" s="3"/>
    </row>
    <row r="647" spans="6:7" x14ac:dyDescent="0.3">
      <c r="F647" s="2"/>
      <c r="G647" s="3"/>
    </row>
    <row r="648" spans="6:7" x14ac:dyDescent="0.3">
      <c r="F648" s="2"/>
      <c r="G648" s="3"/>
    </row>
    <row r="649" spans="6:7" x14ac:dyDescent="0.3">
      <c r="F649" s="2"/>
      <c r="G649" s="3"/>
    </row>
    <row r="650" spans="6:7" x14ac:dyDescent="0.3">
      <c r="F650" s="2"/>
      <c r="G650" s="3"/>
    </row>
    <row r="651" spans="6:7" x14ac:dyDescent="0.3">
      <c r="F651" s="2"/>
      <c r="G651" s="3"/>
    </row>
    <row r="652" spans="6:7" x14ac:dyDescent="0.3">
      <c r="F652" s="2"/>
      <c r="G652" s="3"/>
    </row>
    <row r="653" spans="6:7" x14ac:dyDescent="0.3">
      <c r="F653" s="2"/>
      <c r="G653" s="3"/>
    </row>
    <row r="654" spans="6:7" x14ac:dyDescent="0.3">
      <c r="F654" s="2"/>
      <c r="G654" s="3"/>
    </row>
    <row r="655" spans="6:7" x14ac:dyDescent="0.3">
      <c r="F655" s="2"/>
      <c r="G655" s="3"/>
    </row>
    <row r="656" spans="6:7" x14ac:dyDescent="0.3">
      <c r="F656" s="2"/>
      <c r="G656" s="3"/>
    </row>
    <row r="657" spans="6:7" x14ac:dyDescent="0.3">
      <c r="F657" s="2"/>
      <c r="G657" s="3"/>
    </row>
    <row r="658" spans="6:7" x14ac:dyDescent="0.3">
      <c r="F658" s="2"/>
      <c r="G658" s="3"/>
    </row>
  </sheetData>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33C3E-6B33-41E8-A448-509577E92199}">
  <dimension ref="A1:I11"/>
  <sheetViews>
    <sheetView showGridLines="0" workbookViewId="0">
      <selection activeCell="I19" sqref="I19"/>
    </sheetView>
  </sheetViews>
  <sheetFormatPr defaultRowHeight="14.4" x14ac:dyDescent="0.3"/>
  <cols>
    <col min="2" max="2" width="22.77734375" bestFit="1" customWidth="1"/>
    <col min="3" max="3" width="14.5546875" bestFit="1" customWidth="1"/>
    <col min="4" max="4" width="7.109375" bestFit="1" customWidth="1"/>
  </cols>
  <sheetData>
    <row r="1" spans="1:9" ht="28.8" x14ac:dyDescent="0.55000000000000004">
      <c r="A1" s="70" t="s">
        <v>43</v>
      </c>
      <c r="B1" s="70"/>
      <c r="C1" s="70"/>
      <c r="D1" s="70"/>
      <c r="E1" s="70"/>
      <c r="F1" s="70"/>
      <c r="G1" s="70"/>
      <c r="I1" s="12"/>
    </row>
    <row r="3" spans="1:9" ht="25.8" x14ac:dyDescent="0.5">
      <c r="B3" s="67" t="s">
        <v>63</v>
      </c>
      <c r="C3" s="67" t="s">
        <v>57</v>
      </c>
      <c r="D3" s="67" t="s">
        <v>58</v>
      </c>
    </row>
    <row r="4" spans="1:9" ht="25.8" x14ac:dyDescent="0.5">
      <c r="B4" s="68" t="s">
        <v>55</v>
      </c>
      <c r="C4" s="69">
        <f>AVERAGE(Data[Amount])</f>
        <v>4136.2299999999996</v>
      </c>
      <c r="D4" s="68">
        <f>AVERAGE(Data[Units])</f>
        <v>152.19999999999999</v>
      </c>
    </row>
    <row r="5" spans="1:9" ht="25.8" x14ac:dyDescent="0.5">
      <c r="B5" s="68" t="s">
        <v>56</v>
      </c>
      <c r="C5" s="69">
        <f>MEDIAN(Data[Amount])</f>
        <v>3437</v>
      </c>
      <c r="D5" s="68">
        <f>MEDIAN(Data[Units])</f>
        <v>124.5</v>
      </c>
    </row>
    <row r="6" spans="1:9" ht="25.8" x14ac:dyDescent="0.5">
      <c r="B6" s="68" t="s">
        <v>59</v>
      </c>
      <c r="C6" s="69">
        <f>MIN(Data[Amount])</f>
        <v>0</v>
      </c>
      <c r="D6" s="68">
        <f>MIN(Data[Units])</f>
        <v>0</v>
      </c>
    </row>
    <row r="7" spans="1:9" ht="25.8" x14ac:dyDescent="0.5">
      <c r="B7" s="68" t="s">
        <v>60</v>
      </c>
      <c r="C7" s="69">
        <f>MAX(Data[Amount])</f>
        <v>16184</v>
      </c>
      <c r="D7" s="68">
        <f>MAX(Data[Units])</f>
        <v>525</v>
      </c>
    </row>
    <row r="8" spans="1:9" ht="25.8" x14ac:dyDescent="0.5">
      <c r="B8" s="68" t="s">
        <v>61</v>
      </c>
      <c r="C8" s="69">
        <f>MAX(Data[Amount])</f>
        <v>16184</v>
      </c>
      <c r="D8" s="68">
        <f>MAX(Data[Units])</f>
        <v>525</v>
      </c>
    </row>
    <row r="9" spans="1:9" ht="25.8" x14ac:dyDescent="0.5">
      <c r="B9" s="68" t="s">
        <v>62</v>
      </c>
      <c r="C9" s="69">
        <f>COUNTA(_xlfn.UNIQUE(Data[Product]))</f>
        <v>22</v>
      </c>
      <c r="D9" s="68"/>
    </row>
    <row r="10" spans="1:9" ht="25.8" x14ac:dyDescent="0.5">
      <c r="B10" s="68" t="s">
        <v>64</v>
      </c>
      <c r="C10" s="69">
        <f>_xlfn.PERCENTILE.EXC(Data[Amount],0.25)</f>
        <v>1652</v>
      </c>
      <c r="D10" s="68">
        <f>_xlfn.PERCENTILE.EXC(Data[Units],0.25)</f>
        <v>54</v>
      </c>
    </row>
    <row r="11" spans="1:9" ht="25.8" x14ac:dyDescent="0.5">
      <c r="B11" s="68" t="s">
        <v>65</v>
      </c>
      <c r="C11" s="69">
        <f>_xlfn.PERCENTILE.EXC(Data[Amount],0.75)</f>
        <v>6245.75</v>
      </c>
      <c r="D11" s="68">
        <f>_xlfn.PERCENTILE.EXC(Data[Units],0.75)</f>
        <v>223.5</v>
      </c>
    </row>
  </sheetData>
  <mergeCells count="1">
    <mergeCell ref="A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65BDC-3427-436C-8F4C-6B49640CA94E}">
  <dimension ref="A1:G302"/>
  <sheetViews>
    <sheetView workbookViewId="0">
      <selection activeCell="J13" sqref="J13"/>
    </sheetView>
  </sheetViews>
  <sheetFormatPr defaultRowHeight="14.4" x14ac:dyDescent="0.3"/>
  <cols>
    <col min="1" max="1" width="15.109375" bestFit="1" customWidth="1"/>
    <col min="2" max="2" width="18.5546875" customWidth="1"/>
    <col min="3" max="3" width="20.21875" bestFit="1" customWidth="1"/>
    <col min="4" max="4" width="10.21875" bestFit="1" customWidth="1"/>
    <col min="5" max="5" width="27.109375" customWidth="1"/>
  </cols>
  <sheetData>
    <row r="1" spans="1:7" ht="36.6" x14ac:dyDescent="0.7">
      <c r="A1" s="16">
        <v>2</v>
      </c>
      <c r="B1" s="11" t="s">
        <v>52</v>
      </c>
    </row>
    <row r="2" spans="1:7" x14ac:dyDescent="0.3">
      <c r="C2" s="4" t="s">
        <v>11</v>
      </c>
      <c r="D2" s="4" t="s">
        <v>12</v>
      </c>
      <c r="E2" s="4" t="s">
        <v>0</v>
      </c>
      <c r="F2" s="8" t="s">
        <v>1</v>
      </c>
      <c r="G2" s="8" t="s">
        <v>49</v>
      </c>
    </row>
    <row r="3" spans="1:7" ht="18" x14ac:dyDescent="0.35">
      <c r="C3" s="23" t="s">
        <v>10</v>
      </c>
      <c r="D3" s="23" t="s">
        <v>38</v>
      </c>
      <c r="E3" s="23" t="s">
        <v>14</v>
      </c>
      <c r="F3" s="65">
        <v>5586</v>
      </c>
      <c r="G3" s="66">
        <v>525</v>
      </c>
    </row>
    <row r="4" spans="1:7" ht="18" x14ac:dyDescent="0.35">
      <c r="C4" s="23" t="s">
        <v>2</v>
      </c>
      <c r="D4" s="23" t="s">
        <v>36</v>
      </c>
      <c r="E4" s="23" t="s">
        <v>27</v>
      </c>
      <c r="F4" s="65">
        <v>798</v>
      </c>
      <c r="G4" s="66">
        <v>519</v>
      </c>
    </row>
    <row r="5" spans="1:7" ht="18" x14ac:dyDescent="0.35">
      <c r="C5" s="23" t="s">
        <v>8</v>
      </c>
      <c r="D5" s="23" t="s">
        <v>38</v>
      </c>
      <c r="E5" s="23" t="s">
        <v>13</v>
      </c>
      <c r="F5" s="65">
        <v>819</v>
      </c>
      <c r="G5" s="66">
        <v>510</v>
      </c>
    </row>
    <row r="6" spans="1:7" ht="18" x14ac:dyDescent="0.35">
      <c r="C6" s="23" t="s">
        <v>3</v>
      </c>
      <c r="D6" s="23" t="s">
        <v>34</v>
      </c>
      <c r="E6" s="23" t="s">
        <v>32</v>
      </c>
      <c r="F6" s="65">
        <v>7777</v>
      </c>
      <c r="G6" s="66">
        <v>504</v>
      </c>
    </row>
    <row r="7" spans="1:7" ht="18" x14ac:dyDescent="0.35">
      <c r="C7" s="23" t="s">
        <v>9</v>
      </c>
      <c r="D7" s="23" t="s">
        <v>34</v>
      </c>
      <c r="E7" s="23" t="s">
        <v>20</v>
      </c>
      <c r="F7" s="65">
        <v>8463</v>
      </c>
      <c r="G7" s="66">
        <v>492</v>
      </c>
    </row>
    <row r="8" spans="1:7" ht="18" x14ac:dyDescent="0.35">
      <c r="C8" s="23" t="s">
        <v>2</v>
      </c>
      <c r="D8" s="23" t="s">
        <v>39</v>
      </c>
      <c r="E8" s="23" t="s">
        <v>25</v>
      </c>
      <c r="F8" s="65">
        <v>1785</v>
      </c>
      <c r="G8" s="66">
        <v>462</v>
      </c>
    </row>
    <row r="9" spans="1:7" ht="18" x14ac:dyDescent="0.35">
      <c r="C9" s="23" t="s">
        <v>6</v>
      </c>
      <c r="D9" s="23" t="s">
        <v>37</v>
      </c>
      <c r="E9" s="23" t="s">
        <v>28</v>
      </c>
      <c r="F9" s="65">
        <v>3556</v>
      </c>
      <c r="G9" s="66">
        <v>459</v>
      </c>
    </row>
    <row r="10" spans="1:7" ht="18" x14ac:dyDescent="0.35">
      <c r="C10" s="23" t="s">
        <v>8</v>
      </c>
      <c r="D10" s="23" t="s">
        <v>35</v>
      </c>
      <c r="E10" s="23" t="s">
        <v>32</v>
      </c>
      <c r="F10" s="65">
        <v>6706</v>
      </c>
      <c r="G10" s="66">
        <v>459</v>
      </c>
    </row>
    <row r="11" spans="1:7" ht="18" x14ac:dyDescent="0.35">
      <c r="C11" s="23" t="s">
        <v>6</v>
      </c>
      <c r="D11" s="23" t="s">
        <v>34</v>
      </c>
      <c r="E11" s="23" t="s">
        <v>26</v>
      </c>
      <c r="F11" s="65">
        <v>8008</v>
      </c>
      <c r="G11" s="66">
        <v>456</v>
      </c>
    </row>
    <row r="12" spans="1:7" ht="18" x14ac:dyDescent="0.35">
      <c r="C12" s="23" t="s">
        <v>40</v>
      </c>
      <c r="D12" s="23" t="s">
        <v>35</v>
      </c>
      <c r="E12" s="23" t="s">
        <v>30</v>
      </c>
      <c r="F12" s="65">
        <v>2275</v>
      </c>
      <c r="G12" s="66">
        <v>447</v>
      </c>
    </row>
    <row r="13" spans="1:7" ht="18" x14ac:dyDescent="0.35">
      <c r="C13" s="23" t="s">
        <v>40</v>
      </c>
      <c r="D13" s="23" t="s">
        <v>35</v>
      </c>
      <c r="E13" s="23" t="s">
        <v>33</v>
      </c>
      <c r="F13" s="65">
        <v>8869</v>
      </c>
      <c r="G13" s="66">
        <v>432</v>
      </c>
    </row>
    <row r="14" spans="1:7" ht="18" x14ac:dyDescent="0.35">
      <c r="C14" s="23" t="s">
        <v>6</v>
      </c>
      <c r="D14" s="23" t="s">
        <v>39</v>
      </c>
      <c r="E14" s="23" t="s">
        <v>25</v>
      </c>
      <c r="F14" s="65">
        <v>2100</v>
      </c>
      <c r="G14" s="66">
        <v>414</v>
      </c>
    </row>
    <row r="15" spans="1:7" ht="18" x14ac:dyDescent="0.35">
      <c r="C15" s="23" t="s">
        <v>6</v>
      </c>
      <c r="D15" s="23" t="s">
        <v>37</v>
      </c>
      <c r="E15" s="23" t="s">
        <v>16</v>
      </c>
      <c r="F15" s="65">
        <v>1904</v>
      </c>
      <c r="G15" s="66">
        <v>405</v>
      </c>
    </row>
    <row r="16" spans="1:7" ht="18" x14ac:dyDescent="0.35">
      <c r="C16" s="23" t="s">
        <v>6</v>
      </c>
      <c r="D16" s="23" t="s">
        <v>35</v>
      </c>
      <c r="E16" s="23" t="s">
        <v>4</v>
      </c>
      <c r="F16" s="65">
        <v>1302</v>
      </c>
      <c r="G16" s="66">
        <v>402</v>
      </c>
    </row>
    <row r="17" spans="3:7" ht="18" x14ac:dyDescent="0.35">
      <c r="C17" s="23" t="s">
        <v>6</v>
      </c>
      <c r="D17" s="23" t="s">
        <v>39</v>
      </c>
      <c r="E17" s="23" t="s">
        <v>29</v>
      </c>
      <c r="F17" s="65">
        <v>3052</v>
      </c>
      <c r="G17" s="66">
        <v>378</v>
      </c>
    </row>
    <row r="18" spans="3:7" ht="18" x14ac:dyDescent="0.35">
      <c r="C18" s="23" t="s">
        <v>40</v>
      </c>
      <c r="D18" s="23" t="s">
        <v>35</v>
      </c>
      <c r="E18" s="23" t="s">
        <v>22</v>
      </c>
      <c r="F18" s="65">
        <v>6853</v>
      </c>
      <c r="G18" s="66">
        <v>372</v>
      </c>
    </row>
    <row r="19" spans="3:7" ht="18" x14ac:dyDescent="0.35">
      <c r="C19" s="23" t="s">
        <v>7</v>
      </c>
      <c r="D19" s="23" t="s">
        <v>34</v>
      </c>
      <c r="E19" s="23" t="s">
        <v>14</v>
      </c>
      <c r="F19" s="65">
        <v>1932</v>
      </c>
      <c r="G19" s="66">
        <v>369</v>
      </c>
    </row>
    <row r="20" spans="3:7" ht="18" x14ac:dyDescent="0.35">
      <c r="C20" s="23" t="s">
        <v>3</v>
      </c>
      <c r="D20" s="23" t="s">
        <v>37</v>
      </c>
      <c r="E20" s="23" t="s">
        <v>4</v>
      </c>
      <c r="F20" s="65">
        <v>938</v>
      </c>
      <c r="G20" s="66">
        <v>366</v>
      </c>
    </row>
    <row r="21" spans="3:7" ht="18" x14ac:dyDescent="0.35">
      <c r="C21" s="23" t="s">
        <v>6</v>
      </c>
      <c r="D21" s="23" t="s">
        <v>34</v>
      </c>
      <c r="E21" s="23" t="s">
        <v>30</v>
      </c>
      <c r="F21" s="65">
        <v>3402</v>
      </c>
      <c r="G21" s="66">
        <v>366</v>
      </c>
    </row>
    <row r="22" spans="3:7" ht="18" x14ac:dyDescent="0.35">
      <c r="C22" s="23" t="s">
        <v>8</v>
      </c>
      <c r="D22" s="23" t="s">
        <v>35</v>
      </c>
      <c r="E22" s="23" t="s">
        <v>20</v>
      </c>
      <c r="F22" s="65">
        <v>2702</v>
      </c>
      <c r="G22" s="66">
        <v>363</v>
      </c>
    </row>
    <row r="23" spans="3:7" ht="18" x14ac:dyDescent="0.35">
      <c r="C23" s="23" t="s">
        <v>5</v>
      </c>
      <c r="D23" s="23" t="s">
        <v>35</v>
      </c>
      <c r="E23" s="23" t="s">
        <v>29</v>
      </c>
      <c r="F23" s="65">
        <v>4480</v>
      </c>
      <c r="G23" s="66">
        <v>357</v>
      </c>
    </row>
    <row r="24" spans="3:7" ht="18" x14ac:dyDescent="0.35">
      <c r="C24" s="23" t="s">
        <v>5</v>
      </c>
      <c r="D24" s="23" t="s">
        <v>36</v>
      </c>
      <c r="E24" s="23" t="s">
        <v>17</v>
      </c>
      <c r="F24" s="65">
        <v>3339</v>
      </c>
      <c r="G24" s="66">
        <v>348</v>
      </c>
    </row>
    <row r="25" spans="3:7" ht="18" x14ac:dyDescent="0.35">
      <c r="C25" s="23" t="s">
        <v>2</v>
      </c>
      <c r="D25" s="23" t="s">
        <v>38</v>
      </c>
      <c r="E25" s="23" t="s">
        <v>31</v>
      </c>
      <c r="F25" s="65">
        <v>4326</v>
      </c>
      <c r="G25" s="66">
        <v>348</v>
      </c>
    </row>
    <row r="26" spans="3:7" ht="18" x14ac:dyDescent="0.35">
      <c r="C26" s="23" t="s">
        <v>10</v>
      </c>
      <c r="D26" s="23" t="s">
        <v>36</v>
      </c>
      <c r="E26" s="23" t="s">
        <v>29</v>
      </c>
      <c r="F26" s="65">
        <v>2471</v>
      </c>
      <c r="G26" s="66">
        <v>342</v>
      </c>
    </row>
    <row r="27" spans="3:7" ht="18" x14ac:dyDescent="0.35">
      <c r="C27" s="23" t="s">
        <v>5</v>
      </c>
      <c r="D27" s="23" t="s">
        <v>34</v>
      </c>
      <c r="E27" s="23" t="s">
        <v>20</v>
      </c>
      <c r="F27" s="65">
        <v>15610</v>
      </c>
      <c r="G27" s="66">
        <v>339</v>
      </c>
    </row>
    <row r="28" spans="3:7" ht="18" x14ac:dyDescent="0.35">
      <c r="C28" s="23" t="s">
        <v>7</v>
      </c>
      <c r="D28" s="23" t="s">
        <v>37</v>
      </c>
      <c r="E28" s="23" t="s">
        <v>16</v>
      </c>
      <c r="F28" s="65">
        <v>4487</v>
      </c>
      <c r="G28" s="66">
        <v>333</v>
      </c>
    </row>
    <row r="29" spans="3:7" ht="18" x14ac:dyDescent="0.35">
      <c r="C29" s="23" t="s">
        <v>3</v>
      </c>
      <c r="D29" s="23" t="s">
        <v>37</v>
      </c>
      <c r="E29" s="23" t="s">
        <v>28</v>
      </c>
      <c r="F29" s="65">
        <v>7308</v>
      </c>
      <c r="G29" s="66">
        <v>327</v>
      </c>
    </row>
    <row r="30" spans="3:7" ht="18" x14ac:dyDescent="0.35">
      <c r="C30" s="23" t="s">
        <v>3</v>
      </c>
      <c r="D30" s="23" t="s">
        <v>37</v>
      </c>
      <c r="E30" s="23" t="s">
        <v>29</v>
      </c>
      <c r="F30" s="65">
        <v>4592</v>
      </c>
      <c r="G30" s="66">
        <v>324</v>
      </c>
    </row>
    <row r="31" spans="3:7" ht="18" x14ac:dyDescent="0.35">
      <c r="C31" s="23" t="s">
        <v>3</v>
      </c>
      <c r="D31" s="23" t="s">
        <v>34</v>
      </c>
      <c r="E31" s="23" t="s">
        <v>28</v>
      </c>
      <c r="F31" s="65">
        <v>3689</v>
      </c>
      <c r="G31" s="66">
        <v>312</v>
      </c>
    </row>
    <row r="32" spans="3:7" ht="18" x14ac:dyDescent="0.35">
      <c r="C32" s="23" t="s">
        <v>7</v>
      </c>
      <c r="D32" s="23" t="s">
        <v>38</v>
      </c>
      <c r="E32" s="23" t="s">
        <v>30</v>
      </c>
      <c r="F32" s="65">
        <v>10129</v>
      </c>
      <c r="G32" s="66">
        <v>312</v>
      </c>
    </row>
    <row r="33" spans="3:7" ht="18" x14ac:dyDescent="0.35">
      <c r="C33" s="23" t="s">
        <v>41</v>
      </c>
      <c r="D33" s="23" t="s">
        <v>36</v>
      </c>
      <c r="E33" s="23" t="s">
        <v>28</v>
      </c>
      <c r="F33" s="65">
        <v>854</v>
      </c>
      <c r="G33" s="66">
        <v>309</v>
      </c>
    </row>
    <row r="34" spans="3:7" ht="18" x14ac:dyDescent="0.35">
      <c r="C34" s="23" t="s">
        <v>3</v>
      </c>
      <c r="D34" s="23" t="s">
        <v>35</v>
      </c>
      <c r="E34" s="23" t="s">
        <v>33</v>
      </c>
      <c r="F34" s="65">
        <v>819</v>
      </c>
      <c r="G34" s="66">
        <v>306</v>
      </c>
    </row>
    <row r="35" spans="3:7" ht="18" x14ac:dyDescent="0.35">
      <c r="C35" s="23" t="s">
        <v>40</v>
      </c>
      <c r="D35" s="23" t="s">
        <v>36</v>
      </c>
      <c r="E35" s="23" t="s">
        <v>27</v>
      </c>
      <c r="F35" s="65">
        <v>3164</v>
      </c>
      <c r="G35" s="66">
        <v>306</v>
      </c>
    </row>
    <row r="36" spans="3:7" ht="18" x14ac:dyDescent="0.35">
      <c r="C36" s="23" t="s">
        <v>9</v>
      </c>
      <c r="D36" s="23" t="s">
        <v>39</v>
      </c>
      <c r="E36" s="23" t="s">
        <v>24</v>
      </c>
      <c r="F36" s="65">
        <v>3920</v>
      </c>
      <c r="G36" s="66">
        <v>306</v>
      </c>
    </row>
    <row r="37" spans="3:7" ht="18" x14ac:dyDescent="0.35">
      <c r="C37" s="23" t="s">
        <v>2</v>
      </c>
      <c r="D37" s="23" t="s">
        <v>35</v>
      </c>
      <c r="E37" s="23" t="s">
        <v>17</v>
      </c>
      <c r="F37" s="65">
        <v>1589</v>
      </c>
      <c r="G37" s="66">
        <v>303</v>
      </c>
    </row>
    <row r="38" spans="3:7" ht="18" x14ac:dyDescent="0.35">
      <c r="C38" s="23" t="s">
        <v>10</v>
      </c>
      <c r="D38" s="23" t="s">
        <v>36</v>
      </c>
      <c r="E38" s="23" t="s">
        <v>32</v>
      </c>
      <c r="F38" s="65">
        <v>6657</v>
      </c>
      <c r="G38" s="66">
        <v>303</v>
      </c>
    </row>
    <row r="39" spans="3:7" ht="18" x14ac:dyDescent="0.35">
      <c r="C39" s="23" t="s">
        <v>3</v>
      </c>
      <c r="D39" s="23" t="s">
        <v>38</v>
      </c>
      <c r="E39" s="23" t="s">
        <v>26</v>
      </c>
      <c r="F39" s="65">
        <v>8841</v>
      </c>
      <c r="G39" s="66">
        <v>303</v>
      </c>
    </row>
    <row r="40" spans="3:7" ht="18" x14ac:dyDescent="0.35">
      <c r="C40" s="23" t="s">
        <v>7</v>
      </c>
      <c r="D40" s="23" t="s">
        <v>36</v>
      </c>
      <c r="E40" s="23" t="s">
        <v>19</v>
      </c>
      <c r="F40" s="65">
        <v>2870</v>
      </c>
      <c r="G40" s="66">
        <v>300</v>
      </c>
    </row>
    <row r="41" spans="3:7" ht="18" x14ac:dyDescent="0.35">
      <c r="C41" s="23" t="s">
        <v>8</v>
      </c>
      <c r="D41" s="23" t="s">
        <v>35</v>
      </c>
      <c r="E41" s="23" t="s">
        <v>27</v>
      </c>
      <c r="F41" s="65">
        <v>4753</v>
      </c>
      <c r="G41" s="66">
        <v>300</v>
      </c>
    </row>
    <row r="42" spans="3:7" ht="18" x14ac:dyDescent="0.35">
      <c r="C42" s="23" t="s">
        <v>40</v>
      </c>
      <c r="D42" s="23" t="s">
        <v>38</v>
      </c>
      <c r="E42" s="23" t="s">
        <v>13</v>
      </c>
      <c r="F42" s="65">
        <v>5670</v>
      </c>
      <c r="G42" s="66">
        <v>297</v>
      </c>
    </row>
    <row r="43" spans="3:7" ht="18" x14ac:dyDescent="0.35">
      <c r="C43" s="23" t="s">
        <v>10</v>
      </c>
      <c r="D43" s="23" t="s">
        <v>37</v>
      </c>
      <c r="E43" s="23" t="s">
        <v>21</v>
      </c>
      <c r="F43" s="65">
        <v>245</v>
      </c>
      <c r="G43" s="66">
        <v>288</v>
      </c>
    </row>
    <row r="44" spans="3:7" ht="18" x14ac:dyDescent="0.35">
      <c r="C44" s="23" t="s">
        <v>8</v>
      </c>
      <c r="D44" s="23" t="s">
        <v>34</v>
      </c>
      <c r="E44" s="23" t="s">
        <v>31</v>
      </c>
      <c r="F44" s="65">
        <v>3507</v>
      </c>
      <c r="G44" s="66">
        <v>288</v>
      </c>
    </row>
    <row r="45" spans="3:7" ht="18" x14ac:dyDescent="0.35">
      <c r="C45" s="23" t="s">
        <v>7</v>
      </c>
      <c r="D45" s="23" t="s">
        <v>35</v>
      </c>
      <c r="E45" s="23" t="s">
        <v>28</v>
      </c>
      <c r="F45" s="65">
        <v>5194</v>
      </c>
      <c r="G45" s="66">
        <v>288</v>
      </c>
    </row>
    <row r="46" spans="3:7" ht="18" x14ac:dyDescent="0.35">
      <c r="C46" s="23" t="s">
        <v>41</v>
      </c>
      <c r="D46" s="23" t="s">
        <v>36</v>
      </c>
      <c r="E46" s="23" t="s">
        <v>18</v>
      </c>
      <c r="F46" s="65">
        <v>9632</v>
      </c>
      <c r="G46" s="66">
        <v>288</v>
      </c>
    </row>
    <row r="47" spans="3:7" ht="18" x14ac:dyDescent="0.35">
      <c r="C47" s="23" t="s">
        <v>6</v>
      </c>
      <c r="D47" s="23" t="s">
        <v>38</v>
      </c>
      <c r="E47" s="23" t="s">
        <v>27</v>
      </c>
      <c r="F47" s="65">
        <v>1134</v>
      </c>
      <c r="G47" s="66">
        <v>282</v>
      </c>
    </row>
    <row r="48" spans="3:7" ht="18" x14ac:dyDescent="0.35">
      <c r="C48" s="23" t="s">
        <v>10</v>
      </c>
      <c r="D48" s="23" t="s">
        <v>35</v>
      </c>
      <c r="E48" s="23" t="s">
        <v>18</v>
      </c>
      <c r="F48" s="65">
        <v>3808</v>
      </c>
      <c r="G48" s="66">
        <v>279</v>
      </c>
    </row>
    <row r="49" spans="3:7" ht="18" x14ac:dyDescent="0.35">
      <c r="C49" s="23" t="s">
        <v>10</v>
      </c>
      <c r="D49" s="23" t="s">
        <v>39</v>
      </c>
      <c r="E49" s="23" t="s">
        <v>21</v>
      </c>
      <c r="F49" s="65">
        <v>4858</v>
      </c>
      <c r="G49" s="66">
        <v>279</v>
      </c>
    </row>
    <row r="50" spans="3:7" ht="18" x14ac:dyDescent="0.35">
      <c r="C50" s="23" t="s">
        <v>3</v>
      </c>
      <c r="D50" s="23" t="s">
        <v>35</v>
      </c>
      <c r="E50" s="23" t="s">
        <v>15</v>
      </c>
      <c r="F50" s="65">
        <v>6657</v>
      </c>
      <c r="G50" s="66">
        <v>276</v>
      </c>
    </row>
    <row r="51" spans="3:7" ht="18" x14ac:dyDescent="0.35">
      <c r="C51" s="23" t="s">
        <v>3</v>
      </c>
      <c r="D51" s="23" t="s">
        <v>34</v>
      </c>
      <c r="E51" s="23" t="s">
        <v>14</v>
      </c>
      <c r="F51" s="65">
        <v>7259</v>
      </c>
      <c r="G51" s="66">
        <v>276</v>
      </c>
    </row>
    <row r="52" spans="3:7" ht="18" x14ac:dyDescent="0.35">
      <c r="C52" s="23" t="s">
        <v>9</v>
      </c>
      <c r="D52" s="23" t="s">
        <v>37</v>
      </c>
      <c r="E52" s="23" t="s">
        <v>29</v>
      </c>
      <c r="F52" s="65">
        <v>1085</v>
      </c>
      <c r="G52" s="66">
        <v>273</v>
      </c>
    </row>
    <row r="53" spans="3:7" ht="18" x14ac:dyDescent="0.35">
      <c r="C53" s="23" t="s">
        <v>6</v>
      </c>
      <c r="D53" s="23" t="s">
        <v>35</v>
      </c>
      <c r="E53" s="23" t="s">
        <v>20</v>
      </c>
      <c r="F53" s="65">
        <v>1071</v>
      </c>
      <c r="G53" s="66">
        <v>270</v>
      </c>
    </row>
    <row r="54" spans="3:7" ht="18" x14ac:dyDescent="0.35">
      <c r="C54" s="23" t="s">
        <v>7</v>
      </c>
      <c r="D54" s="23" t="s">
        <v>38</v>
      </c>
      <c r="E54" s="23" t="s">
        <v>18</v>
      </c>
      <c r="F54" s="65">
        <v>1778</v>
      </c>
      <c r="G54" s="66">
        <v>270</v>
      </c>
    </row>
    <row r="55" spans="3:7" ht="18" x14ac:dyDescent="0.35">
      <c r="C55" s="23" t="s">
        <v>10</v>
      </c>
      <c r="D55" s="23" t="s">
        <v>36</v>
      </c>
      <c r="E55" s="23" t="s">
        <v>23</v>
      </c>
      <c r="F55" s="65">
        <v>2317</v>
      </c>
      <c r="G55" s="66">
        <v>261</v>
      </c>
    </row>
    <row r="56" spans="3:7" ht="18" x14ac:dyDescent="0.35">
      <c r="C56" s="23" t="s">
        <v>7</v>
      </c>
      <c r="D56" s="23" t="s">
        <v>38</v>
      </c>
      <c r="E56" s="23" t="s">
        <v>28</v>
      </c>
      <c r="F56" s="65">
        <v>5677</v>
      </c>
      <c r="G56" s="66">
        <v>258</v>
      </c>
    </row>
    <row r="57" spans="3:7" ht="18" x14ac:dyDescent="0.35">
      <c r="C57" s="23" t="s">
        <v>3</v>
      </c>
      <c r="D57" s="23" t="s">
        <v>35</v>
      </c>
      <c r="E57" s="23" t="s">
        <v>14</v>
      </c>
      <c r="F57" s="65">
        <v>2415</v>
      </c>
      <c r="G57" s="66">
        <v>255</v>
      </c>
    </row>
    <row r="58" spans="3:7" ht="18" x14ac:dyDescent="0.35">
      <c r="C58" s="23" t="s">
        <v>7</v>
      </c>
      <c r="D58" s="23" t="s">
        <v>36</v>
      </c>
      <c r="E58" s="23" t="s">
        <v>29</v>
      </c>
      <c r="F58" s="65">
        <v>5551</v>
      </c>
      <c r="G58" s="66">
        <v>252</v>
      </c>
    </row>
    <row r="59" spans="3:7" ht="18" x14ac:dyDescent="0.35">
      <c r="C59" s="23" t="s">
        <v>7</v>
      </c>
      <c r="D59" s="23" t="s">
        <v>35</v>
      </c>
      <c r="E59" s="23" t="s">
        <v>30</v>
      </c>
      <c r="F59" s="65">
        <v>6755</v>
      </c>
      <c r="G59" s="66">
        <v>252</v>
      </c>
    </row>
    <row r="60" spans="3:7" ht="18" x14ac:dyDescent="0.35">
      <c r="C60" s="23" t="s">
        <v>5</v>
      </c>
      <c r="D60" s="23" t="s">
        <v>39</v>
      </c>
      <c r="E60" s="23" t="s">
        <v>18</v>
      </c>
      <c r="F60" s="65">
        <v>385</v>
      </c>
      <c r="G60" s="66">
        <v>249</v>
      </c>
    </row>
    <row r="61" spans="3:7" ht="18" x14ac:dyDescent="0.35">
      <c r="C61" s="23" t="s">
        <v>9</v>
      </c>
      <c r="D61" s="23" t="s">
        <v>37</v>
      </c>
      <c r="E61" s="23" t="s">
        <v>26</v>
      </c>
      <c r="F61" s="65">
        <v>2856</v>
      </c>
      <c r="G61" s="66">
        <v>246</v>
      </c>
    </row>
    <row r="62" spans="3:7" ht="18" x14ac:dyDescent="0.35">
      <c r="C62" s="23" t="s">
        <v>2</v>
      </c>
      <c r="D62" s="23" t="s">
        <v>36</v>
      </c>
      <c r="E62" s="23" t="s">
        <v>31</v>
      </c>
      <c r="F62" s="65">
        <v>3094</v>
      </c>
      <c r="G62" s="66">
        <v>246</v>
      </c>
    </row>
    <row r="63" spans="3:7" ht="18" x14ac:dyDescent="0.35">
      <c r="C63" s="23" t="s">
        <v>7</v>
      </c>
      <c r="D63" s="23" t="s">
        <v>39</v>
      </c>
      <c r="E63" s="23" t="s">
        <v>17</v>
      </c>
      <c r="F63" s="65">
        <v>4438</v>
      </c>
      <c r="G63" s="66">
        <v>246</v>
      </c>
    </row>
    <row r="64" spans="3:7" ht="18" x14ac:dyDescent="0.35">
      <c r="C64" s="23" t="s">
        <v>5</v>
      </c>
      <c r="D64" s="23" t="s">
        <v>35</v>
      </c>
      <c r="E64" s="23" t="s">
        <v>31</v>
      </c>
      <c r="F64" s="65">
        <v>4753</v>
      </c>
      <c r="G64" s="66">
        <v>246</v>
      </c>
    </row>
    <row r="65" spans="3:7" ht="18" x14ac:dyDescent="0.35">
      <c r="C65" s="23" t="s">
        <v>9</v>
      </c>
      <c r="D65" s="23" t="s">
        <v>35</v>
      </c>
      <c r="E65" s="23" t="s">
        <v>15</v>
      </c>
      <c r="F65" s="65">
        <v>7833</v>
      </c>
      <c r="G65" s="66">
        <v>243</v>
      </c>
    </row>
    <row r="66" spans="3:7" ht="18" x14ac:dyDescent="0.35">
      <c r="C66" s="23" t="s">
        <v>41</v>
      </c>
      <c r="D66" s="23" t="s">
        <v>37</v>
      </c>
      <c r="E66" s="23" t="s">
        <v>30</v>
      </c>
      <c r="F66" s="65">
        <v>1526</v>
      </c>
      <c r="G66" s="66">
        <v>240</v>
      </c>
    </row>
    <row r="67" spans="3:7" ht="18" x14ac:dyDescent="0.35">
      <c r="C67" s="23" t="s">
        <v>7</v>
      </c>
      <c r="D67" s="23" t="s">
        <v>35</v>
      </c>
      <c r="E67" s="23" t="s">
        <v>19</v>
      </c>
      <c r="F67" s="65">
        <v>4585</v>
      </c>
      <c r="G67" s="66">
        <v>240</v>
      </c>
    </row>
    <row r="68" spans="3:7" ht="18" x14ac:dyDescent="0.35">
      <c r="C68" s="23" t="s">
        <v>5</v>
      </c>
      <c r="D68" s="23" t="s">
        <v>34</v>
      </c>
      <c r="E68" s="23" t="s">
        <v>22</v>
      </c>
      <c r="F68" s="65">
        <v>6279</v>
      </c>
      <c r="G68" s="66">
        <v>237</v>
      </c>
    </row>
    <row r="69" spans="3:7" ht="18" x14ac:dyDescent="0.35">
      <c r="C69" s="23" t="s">
        <v>8</v>
      </c>
      <c r="D69" s="23" t="s">
        <v>38</v>
      </c>
      <c r="E69" s="23" t="s">
        <v>23</v>
      </c>
      <c r="F69" s="65">
        <v>1701</v>
      </c>
      <c r="G69" s="66">
        <v>234</v>
      </c>
    </row>
    <row r="70" spans="3:7" ht="18" x14ac:dyDescent="0.35">
      <c r="C70" s="23" t="s">
        <v>3</v>
      </c>
      <c r="D70" s="23" t="s">
        <v>35</v>
      </c>
      <c r="E70" s="23" t="s">
        <v>25</v>
      </c>
      <c r="F70" s="65">
        <v>2464</v>
      </c>
      <c r="G70" s="66">
        <v>234</v>
      </c>
    </row>
    <row r="71" spans="3:7" ht="18" x14ac:dyDescent="0.35">
      <c r="C71" s="23" t="s">
        <v>40</v>
      </c>
      <c r="D71" s="23" t="s">
        <v>35</v>
      </c>
      <c r="E71" s="23" t="s">
        <v>32</v>
      </c>
      <c r="F71" s="65">
        <v>12348</v>
      </c>
      <c r="G71" s="66">
        <v>234</v>
      </c>
    </row>
    <row r="72" spans="3:7" ht="18" x14ac:dyDescent="0.35">
      <c r="C72" s="23" t="s">
        <v>41</v>
      </c>
      <c r="D72" s="23" t="s">
        <v>37</v>
      </c>
      <c r="E72" s="23" t="s">
        <v>15</v>
      </c>
      <c r="F72" s="65">
        <v>714</v>
      </c>
      <c r="G72" s="66">
        <v>231</v>
      </c>
    </row>
    <row r="73" spans="3:7" ht="18" x14ac:dyDescent="0.35">
      <c r="C73" s="23" t="s">
        <v>41</v>
      </c>
      <c r="D73" s="23" t="s">
        <v>36</v>
      </c>
      <c r="E73" s="23" t="s">
        <v>13</v>
      </c>
      <c r="F73" s="65">
        <v>10311</v>
      </c>
      <c r="G73" s="66">
        <v>231</v>
      </c>
    </row>
    <row r="74" spans="3:7" ht="18" x14ac:dyDescent="0.35">
      <c r="C74" s="23" t="s">
        <v>10</v>
      </c>
      <c r="D74" s="23" t="s">
        <v>35</v>
      </c>
      <c r="E74" s="23" t="s">
        <v>21</v>
      </c>
      <c r="F74" s="65">
        <v>567</v>
      </c>
      <c r="G74" s="66">
        <v>228</v>
      </c>
    </row>
    <row r="75" spans="3:7" ht="18" x14ac:dyDescent="0.35">
      <c r="C75" s="23" t="s">
        <v>41</v>
      </c>
      <c r="D75" s="23" t="s">
        <v>34</v>
      </c>
      <c r="E75" s="23" t="s">
        <v>16</v>
      </c>
      <c r="F75" s="65">
        <v>1274</v>
      </c>
      <c r="G75" s="66">
        <v>225</v>
      </c>
    </row>
    <row r="76" spans="3:7" ht="18" x14ac:dyDescent="0.35">
      <c r="C76" s="23" t="s">
        <v>40</v>
      </c>
      <c r="D76" s="23" t="s">
        <v>39</v>
      </c>
      <c r="E76" s="23" t="s">
        <v>28</v>
      </c>
      <c r="F76" s="65">
        <v>3101</v>
      </c>
      <c r="G76" s="66">
        <v>225</v>
      </c>
    </row>
    <row r="77" spans="3:7" ht="18" x14ac:dyDescent="0.35">
      <c r="C77" s="23" t="s">
        <v>7</v>
      </c>
      <c r="D77" s="23" t="s">
        <v>37</v>
      </c>
      <c r="E77" s="23" t="s">
        <v>14</v>
      </c>
      <c r="F77" s="65">
        <v>6608</v>
      </c>
      <c r="G77" s="66">
        <v>225</v>
      </c>
    </row>
    <row r="78" spans="3:7" ht="18" x14ac:dyDescent="0.35">
      <c r="C78" s="23" t="s">
        <v>8</v>
      </c>
      <c r="D78" s="23" t="s">
        <v>34</v>
      </c>
      <c r="E78" s="23" t="s">
        <v>16</v>
      </c>
      <c r="F78" s="65">
        <v>2009</v>
      </c>
      <c r="G78" s="66">
        <v>219</v>
      </c>
    </row>
    <row r="79" spans="3:7" ht="18" x14ac:dyDescent="0.35">
      <c r="C79" s="23" t="s">
        <v>41</v>
      </c>
      <c r="D79" s="23" t="s">
        <v>35</v>
      </c>
      <c r="E79" s="23" t="s">
        <v>28</v>
      </c>
      <c r="F79" s="65">
        <v>7455</v>
      </c>
      <c r="G79" s="66">
        <v>216</v>
      </c>
    </row>
    <row r="80" spans="3:7" ht="18" x14ac:dyDescent="0.35">
      <c r="C80" s="23" t="s">
        <v>8</v>
      </c>
      <c r="D80" s="23" t="s">
        <v>38</v>
      </c>
      <c r="E80" s="23" t="s">
        <v>32</v>
      </c>
      <c r="F80" s="65">
        <v>3752</v>
      </c>
      <c r="G80" s="66">
        <v>213</v>
      </c>
    </row>
    <row r="81" spans="3:7" ht="18" x14ac:dyDescent="0.35">
      <c r="C81" s="23" t="s">
        <v>2</v>
      </c>
      <c r="D81" s="23" t="s">
        <v>39</v>
      </c>
      <c r="E81" s="23" t="s">
        <v>21</v>
      </c>
      <c r="F81" s="65">
        <v>7651</v>
      </c>
      <c r="G81" s="66">
        <v>213</v>
      </c>
    </row>
    <row r="82" spans="3:7" ht="18" x14ac:dyDescent="0.35">
      <c r="C82" s="23" t="s">
        <v>8</v>
      </c>
      <c r="D82" s="23" t="s">
        <v>35</v>
      </c>
      <c r="E82" s="23" t="s">
        <v>22</v>
      </c>
      <c r="F82" s="65">
        <v>5012</v>
      </c>
      <c r="G82" s="66">
        <v>210</v>
      </c>
    </row>
    <row r="83" spans="3:7" ht="18" x14ac:dyDescent="0.35">
      <c r="C83" s="23" t="s">
        <v>8</v>
      </c>
      <c r="D83" s="23" t="s">
        <v>39</v>
      </c>
      <c r="E83" s="23" t="s">
        <v>31</v>
      </c>
      <c r="F83" s="65">
        <v>8890</v>
      </c>
      <c r="G83" s="66">
        <v>210</v>
      </c>
    </row>
    <row r="84" spans="3:7" ht="18" x14ac:dyDescent="0.35">
      <c r="C84" s="23" t="s">
        <v>9</v>
      </c>
      <c r="D84" s="23" t="s">
        <v>37</v>
      </c>
      <c r="E84" s="23" t="s">
        <v>4</v>
      </c>
      <c r="F84" s="65">
        <v>259</v>
      </c>
      <c r="G84" s="66">
        <v>207</v>
      </c>
    </row>
    <row r="85" spans="3:7" ht="18" x14ac:dyDescent="0.35">
      <c r="C85" s="23" t="s">
        <v>6</v>
      </c>
      <c r="D85" s="23" t="s">
        <v>34</v>
      </c>
      <c r="E85" s="23" t="s">
        <v>27</v>
      </c>
      <c r="F85" s="65">
        <v>4242</v>
      </c>
      <c r="G85" s="66">
        <v>207</v>
      </c>
    </row>
    <row r="86" spans="3:7" ht="18" x14ac:dyDescent="0.35">
      <c r="C86" s="23" t="s">
        <v>7</v>
      </c>
      <c r="D86" s="23" t="s">
        <v>37</v>
      </c>
      <c r="E86" s="23" t="s">
        <v>22</v>
      </c>
      <c r="F86" s="65">
        <v>9835</v>
      </c>
      <c r="G86" s="66">
        <v>207</v>
      </c>
    </row>
    <row r="87" spans="3:7" ht="18" x14ac:dyDescent="0.35">
      <c r="C87" s="23" t="s">
        <v>41</v>
      </c>
      <c r="D87" s="23" t="s">
        <v>36</v>
      </c>
      <c r="E87" s="23" t="s">
        <v>26</v>
      </c>
      <c r="F87" s="65">
        <v>98</v>
      </c>
      <c r="G87" s="66">
        <v>204</v>
      </c>
    </row>
    <row r="88" spans="3:7" ht="18" x14ac:dyDescent="0.35">
      <c r="C88" s="23" t="s">
        <v>8</v>
      </c>
      <c r="D88" s="23" t="s">
        <v>37</v>
      </c>
      <c r="E88" s="23" t="s">
        <v>19</v>
      </c>
      <c r="F88" s="65">
        <v>1771</v>
      </c>
      <c r="G88" s="66">
        <v>204</v>
      </c>
    </row>
    <row r="89" spans="3:7" ht="18" x14ac:dyDescent="0.35">
      <c r="C89" s="23" t="s">
        <v>9</v>
      </c>
      <c r="D89" s="23" t="s">
        <v>39</v>
      </c>
      <c r="E89" s="23" t="s">
        <v>18</v>
      </c>
      <c r="F89" s="65">
        <v>2639</v>
      </c>
      <c r="G89" s="66">
        <v>204</v>
      </c>
    </row>
    <row r="90" spans="3:7" ht="18" x14ac:dyDescent="0.35">
      <c r="C90" s="23" t="s">
        <v>10</v>
      </c>
      <c r="D90" s="23" t="s">
        <v>34</v>
      </c>
      <c r="E90" s="23" t="s">
        <v>19</v>
      </c>
      <c r="F90" s="65">
        <v>5355</v>
      </c>
      <c r="G90" s="66">
        <v>204</v>
      </c>
    </row>
    <row r="91" spans="3:7" ht="18" x14ac:dyDescent="0.35">
      <c r="C91" s="23" t="s">
        <v>9</v>
      </c>
      <c r="D91" s="23" t="s">
        <v>36</v>
      </c>
      <c r="E91" s="23" t="s">
        <v>27</v>
      </c>
      <c r="F91" s="65">
        <v>11522</v>
      </c>
      <c r="G91" s="66">
        <v>204</v>
      </c>
    </row>
    <row r="92" spans="3:7" ht="18" x14ac:dyDescent="0.35">
      <c r="C92" s="23" t="s">
        <v>40</v>
      </c>
      <c r="D92" s="23" t="s">
        <v>36</v>
      </c>
      <c r="E92" s="23" t="s">
        <v>13</v>
      </c>
      <c r="F92" s="65">
        <v>4424</v>
      </c>
      <c r="G92" s="66">
        <v>201</v>
      </c>
    </row>
    <row r="93" spans="3:7" ht="18" x14ac:dyDescent="0.35">
      <c r="C93" s="23" t="s">
        <v>5</v>
      </c>
      <c r="D93" s="23" t="s">
        <v>34</v>
      </c>
      <c r="E93" s="23" t="s">
        <v>15</v>
      </c>
      <c r="F93" s="65">
        <v>7280</v>
      </c>
      <c r="G93" s="66">
        <v>201</v>
      </c>
    </row>
    <row r="94" spans="3:7" ht="18" x14ac:dyDescent="0.35">
      <c r="C94" s="23" t="s">
        <v>2</v>
      </c>
      <c r="D94" s="23" t="s">
        <v>37</v>
      </c>
      <c r="E94" s="23" t="s">
        <v>17</v>
      </c>
      <c r="F94" s="65">
        <v>9926</v>
      </c>
      <c r="G94" s="66">
        <v>201</v>
      </c>
    </row>
    <row r="95" spans="3:7" ht="18" x14ac:dyDescent="0.35">
      <c r="C95" s="23" t="s">
        <v>5</v>
      </c>
      <c r="D95" s="23" t="s">
        <v>35</v>
      </c>
      <c r="E95" s="23" t="s">
        <v>15</v>
      </c>
      <c r="F95" s="65">
        <v>13391</v>
      </c>
      <c r="G95" s="66">
        <v>201</v>
      </c>
    </row>
    <row r="96" spans="3:7" ht="18" x14ac:dyDescent="0.35">
      <c r="C96" s="23" t="s">
        <v>7</v>
      </c>
      <c r="D96" s="23" t="s">
        <v>39</v>
      </c>
      <c r="E96" s="23" t="s">
        <v>27</v>
      </c>
      <c r="F96" s="65">
        <v>966</v>
      </c>
      <c r="G96" s="66">
        <v>198</v>
      </c>
    </row>
    <row r="97" spans="3:7" ht="18" x14ac:dyDescent="0.35">
      <c r="C97" s="23" t="s">
        <v>5</v>
      </c>
      <c r="D97" s="23" t="s">
        <v>34</v>
      </c>
      <c r="E97" s="23" t="s">
        <v>19</v>
      </c>
      <c r="F97" s="65">
        <v>861</v>
      </c>
      <c r="G97" s="66">
        <v>195</v>
      </c>
    </row>
    <row r="98" spans="3:7" ht="18" x14ac:dyDescent="0.35">
      <c r="C98" s="23" t="s">
        <v>8</v>
      </c>
      <c r="D98" s="23" t="s">
        <v>37</v>
      </c>
      <c r="E98" s="23" t="s">
        <v>22</v>
      </c>
      <c r="F98" s="65">
        <v>1890</v>
      </c>
      <c r="G98" s="66">
        <v>195</v>
      </c>
    </row>
    <row r="99" spans="3:7" ht="18" x14ac:dyDescent="0.35">
      <c r="C99" s="23" t="s">
        <v>10</v>
      </c>
      <c r="D99" s="23" t="s">
        <v>35</v>
      </c>
      <c r="E99" s="23" t="s">
        <v>20</v>
      </c>
      <c r="F99" s="65">
        <v>1974</v>
      </c>
      <c r="G99" s="66">
        <v>195</v>
      </c>
    </row>
    <row r="100" spans="3:7" ht="18" x14ac:dyDescent="0.35">
      <c r="C100" s="23" t="s">
        <v>41</v>
      </c>
      <c r="D100" s="23" t="s">
        <v>36</v>
      </c>
      <c r="E100" s="23" t="s">
        <v>19</v>
      </c>
      <c r="F100" s="65">
        <v>1925</v>
      </c>
      <c r="G100" s="66">
        <v>192</v>
      </c>
    </row>
    <row r="101" spans="3:7" ht="18" x14ac:dyDescent="0.35">
      <c r="C101" s="23" t="s">
        <v>9</v>
      </c>
      <c r="D101" s="23" t="s">
        <v>34</v>
      </c>
      <c r="E101" s="23" t="s">
        <v>16</v>
      </c>
      <c r="F101" s="65">
        <v>938</v>
      </c>
      <c r="G101" s="66">
        <v>189</v>
      </c>
    </row>
    <row r="102" spans="3:7" ht="18" x14ac:dyDescent="0.35">
      <c r="C102" s="23" t="s">
        <v>9</v>
      </c>
      <c r="D102" s="23" t="s">
        <v>36</v>
      </c>
      <c r="E102" s="23" t="s">
        <v>32</v>
      </c>
      <c r="F102" s="65">
        <v>2954</v>
      </c>
      <c r="G102" s="66">
        <v>189</v>
      </c>
    </row>
    <row r="103" spans="3:7" ht="18" x14ac:dyDescent="0.35">
      <c r="C103" s="23" t="s">
        <v>6</v>
      </c>
      <c r="D103" s="23" t="s">
        <v>37</v>
      </c>
      <c r="E103" s="23" t="s">
        <v>23</v>
      </c>
      <c r="F103" s="65">
        <v>4949</v>
      </c>
      <c r="G103" s="66">
        <v>189</v>
      </c>
    </row>
    <row r="104" spans="3:7" ht="18" x14ac:dyDescent="0.35">
      <c r="C104" s="23" t="s">
        <v>7</v>
      </c>
      <c r="D104" s="23" t="s">
        <v>34</v>
      </c>
      <c r="E104" s="23" t="s">
        <v>24</v>
      </c>
      <c r="F104" s="65">
        <v>8862</v>
      </c>
      <c r="G104" s="66">
        <v>189</v>
      </c>
    </row>
    <row r="105" spans="3:7" ht="18" x14ac:dyDescent="0.35">
      <c r="C105" s="23" t="s">
        <v>41</v>
      </c>
      <c r="D105" s="23" t="s">
        <v>35</v>
      </c>
      <c r="E105" s="23" t="s">
        <v>15</v>
      </c>
      <c r="F105" s="65">
        <v>2114</v>
      </c>
      <c r="G105" s="66">
        <v>186</v>
      </c>
    </row>
    <row r="106" spans="3:7" ht="18" x14ac:dyDescent="0.35">
      <c r="C106" s="23" t="s">
        <v>2</v>
      </c>
      <c r="D106" s="23" t="s">
        <v>38</v>
      </c>
      <c r="E106" s="23" t="s">
        <v>28</v>
      </c>
      <c r="F106" s="65">
        <v>6580</v>
      </c>
      <c r="G106" s="66">
        <v>183</v>
      </c>
    </row>
    <row r="107" spans="3:7" ht="18" x14ac:dyDescent="0.35">
      <c r="C107" s="23" t="s">
        <v>8</v>
      </c>
      <c r="D107" s="23" t="s">
        <v>39</v>
      </c>
      <c r="E107" s="23" t="s">
        <v>30</v>
      </c>
      <c r="F107" s="65">
        <v>7021</v>
      </c>
      <c r="G107" s="66">
        <v>183</v>
      </c>
    </row>
    <row r="108" spans="3:7" ht="18" x14ac:dyDescent="0.35">
      <c r="C108" s="23" t="s">
        <v>41</v>
      </c>
      <c r="D108" s="23" t="s">
        <v>37</v>
      </c>
      <c r="E108" s="23" t="s">
        <v>26</v>
      </c>
      <c r="F108" s="65">
        <v>2324</v>
      </c>
      <c r="G108" s="66">
        <v>177</v>
      </c>
    </row>
    <row r="109" spans="3:7" ht="18" x14ac:dyDescent="0.35">
      <c r="C109" s="23" t="s">
        <v>7</v>
      </c>
      <c r="D109" s="23" t="s">
        <v>36</v>
      </c>
      <c r="E109" s="23" t="s">
        <v>18</v>
      </c>
      <c r="F109" s="65">
        <v>2646</v>
      </c>
      <c r="G109" s="66">
        <v>177</v>
      </c>
    </row>
    <row r="110" spans="3:7" ht="18" x14ac:dyDescent="0.35">
      <c r="C110" s="23" t="s">
        <v>6</v>
      </c>
      <c r="D110" s="23" t="s">
        <v>35</v>
      </c>
      <c r="E110" s="23" t="s">
        <v>27</v>
      </c>
      <c r="F110" s="65">
        <v>3864</v>
      </c>
      <c r="G110" s="66">
        <v>177</v>
      </c>
    </row>
    <row r="111" spans="3:7" ht="18" x14ac:dyDescent="0.35">
      <c r="C111" s="23" t="s">
        <v>9</v>
      </c>
      <c r="D111" s="23" t="s">
        <v>34</v>
      </c>
      <c r="E111" s="23" t="s">
        <v>17</v>
      </c>
      <c r="F111" s="65">
        <v>707</v>
      </c>
      <c r="G111" s="66">
        <v>174</v>
      </c>
    </row>
    <row r="112" spans="3:7" ht="18" x14ac:dyDescent="0.35">
      <c r="C112" s="23" t="s">
        <v>40</v>
      </c>
      <c r="D112" s="23" t="s">
        <v>35</v>
      </c>
      <c r="E112" s="23" t="s">
        <v>16</v>
      </c>
      <c r="F112" s="65">
        <v>4725</v>
      </c>
      <c r="G112" s="66">
        <v>174</v>
      </c>
    </row>
    <row r="113" spans="3:7" ht="18" x14ac:dyDescent="0.35">
      <c r="C113" s="23" t="s">
        <v>41</v>
      </c>
      <c r="D113" s="23" t="s">
        <v>36</v>
      </c>
      <c r="E113" s="23" t="s">
        <v>30</v>
      </c>
      <c r="F113" s="65">
        <v>6118</v>
      </c>
      <c r="G113" s="66">
        <v>174</v>
      </c>
    </row>
    <row r="114" spans="3:7" ht="18" x14ac:dyDescent="0.35">
      <c r="C114" s="23" t="s">
        <v>41</v>
      </c>
      <c r="D114" s="23" t="s">
        <v>34</v>
      </c>
      <c r="E114" s="23" t="s">
        <v>33</v>
      </c>
      <c r="F114" s="65">
        <v>7847</v>
      </c>
      <c r="G114" s="66">
        <v>174</v>
      </c>
    </row>
    <row r="115" spans="3:7" ht="18" x14ac:dyDescent="0.35">
      <c r="C115" s="23" t="s">
        <v>5</v>
      </c>
      <c r="D115" s="23" t="s">
        <v>39</v>
      </c>
      <c r="E115" s="23" t="s">
        <v>24</v>
      </c>
      <c r="F115" s="65">
        <v>4018</v>
      </c>
      <c r="G115" s="66">
        <v>171</v>
      </c>
    </row>
    <row r="116" spans="3:7" ht="18" x14ac:dyDescent="0.35">
      <c r="C116" s="23" t="s">
        <v>3</v>
      </c>
      <c r="D116" s="23" t="s">
        <v>39</v>
      </c>
      <c r="E116" s="23" t="s">
        <v>26</v>
      </c>
      <c r="F116" s="65">
        <v>4956</v>
      </c>
      <c r="G116" s="66">
        <v>171</v>
      </c>
    </row>
    <row r="117" spans="3:7" ht="18" x14ac:dyDescent="0.35">
      <c r="C117" s="23" t="s">
        <v>3</v>
      </c>
      <c r="D117" s="23" t="s">
        <v>39</v>
      </c>
      <c r="E117" s="23" t="s">
        <v>16</v>
      </c>
      <c r="F117" s="65">
        <v>21</v>
      </c>
      <c r="G117" s="66">
        <v>168</v>
      </c>
    </row>
    <row r="118" spans="3:7" ht="18" x14ac:dyDescent="0.35">
      <c r="C118" s="23" t="s">
        <v>8</v>
      </c>
      <c r="D118" s="23" t="s">
        <v>35</v>
      </c>
      <c r="E118" s="23" t="s">
        <v>29</v>
      </c>
      <c r="F118" s="65">
        <v>2023</v>
      </c>
      <c r="G118" s="66">
        <v>168</v>
      </c>
    </row>
    <row r="119" spans="3:7" ht="18" x14ac:dyDescent="0.35">
      <c r="C119" s="23" t="s">
        <v>5</v>
      </c>
      <c r="D119" s="23" t="s">
        <v>38</v>
      </c>
      <c r="E119" s="23" t="s">
        <v>19</v>
      </c>
      <c r="F119" s="65">
        <v>5474</v>
      </c>
      <c r="G119" s="66">
        <v>168</v>
      </c>
    </row>
    <row r="120" spans="3:7" ht="18" x14ac:dyDescent="0.35">
      <c r="C120" s="23" t="s">
        <v>3</v>
      </c>
      <c r="D120" s="23" t="s">
        <v>36</v>
      </c>
      <c r="E120" s="23" t="s">
        <v>23</v>
      </c>
      <c r="F120" s="65">
        <v>3773</v>
      </c>
      <c r="G120" s="66">
        <v>165</v>
      </c>
    </row>
    <row r="121" spans="3:7" ht="18" x14ac:dyDescent="0.35">
      <c r="C121" s="23" t="s">
        <v>3</v>
      </c>
      <c r="D121" s="23" t="s">
        <v>36</v>
      </c>
      <c r="E121" s="23" t="s">
        <v>28</v>
      </c>
      <c r="F121" s="65">
        <v>973</v>
      </c>
      <c r="G121" s="66">
        <v>162</v>
      </c>
    </row>
    <row r="122" spans="3:7" ht="18" x14ac:dyDescent="0.35">
      <c r="C122" s="23" t="s">
        <v>40</v>
      </c>
      <c r="D122" s="23" t="s">
        <v>34</v>
      </c>
      <c r="E122" s="23" t="s">
        <v>19</v>
      </c>
      <c r="F122" s="65">
        <v>4018</v>
      </c>
      <c r="G122" s="66">
        <v>162</v>
      </c>
    </row>
    <row r="123" spans="3:7" ht="18" x14ac:dyDescent="0.35">
      <c r="C123" s="23" t="s">
        <v>2</v>
      </c>
      <c r="D123" s="23" t="s">
        <v>39</v>
      </c>
      <c r="E123" s="23" t="s">
        <v>20</v>
      </c>
      <c r="F123" s="65">
        <v>9443</v>
      </c>
      <c r="G123" s="66">
        <v>162</v>
      </c>
    </row>
    <row r="124" spans="3:7" ht="18" x14ac:dyDescent="0.35">
      <c r="C124" s="23" t="s">
        <v>9</v>
      </c>
      <c r="D124" s="23" t="s">
        <v>35</v>
      </c>
      <c r="E124" s="23" t="s">
        <v>26</v>
      </c>
      <c r="F124" s="65">
        <v>98</v>
      </c>
      <c r="G124" s="66">
        <v>159</v>
      </c>
    </row>
    <row r="125" spans="3:7" ht="18" x14ac:dyDescent="0.35">
      <c r="C125" s="23" t="s">
        <v>40</v>
      </c>
      <c r="D125" s="23" t="s">
        <v>34</v>
      </c>
      <c r="E125" s="23" t="s">
        <v>33</v>
      </c>
      <c r="F125" s="65">
        <v>3794</v>
      </c>
      <c r="G125" s="66">
        <v>159</v>
      </c>
    </row>
    <row r="126" spans="3:7" ht="18" x14ac:dyDescent="0.35">
      <c r="C126" s="23" t="s">
        <v>9</v>
      </c>
      <c r="D126" s="23" t="s">
        <v>37</v>
      </c>
      <c r="E126" s="23" t="s">
        <v>25</v>
      </c>
      <c r="F126" s="65">
        <v>4305</v>
      </c>
      <c r="G126" s="66">
        <v>156</v>
      </c>
    </row>
    <row r="127" spans="3:7" ht="18" x14ac:dyDescent="0.35">
      <c r="C127" s="23" t="s">
        <v>6</v>
      </c>
      <c r="D127" s="23" t="s">
        <v>36</v>
      </c>
      <c r="E127" s="23" t="s">
        <v>17</v>
      </c>
      <c r="F127" s="65">
        <v>4970</v>
      </c>
      <c r="G127" s="66">
        <v>156</v>
      </c>
    </row>
    <row r="128" spans="3:7" ht="18" x14ac:dyDescent="0.35">
      <c r="C128" s="23" t="s">
        <v>40</v>
      </c>
      <c r="D128" s="23" t="s">
        <v>34</v>
      </c>
      <c r="E128" s="23" t="s">
        <v>17</v>
      </c>
      <c r="F128" s="65">
        <v>5019</v>
      </c>
      <c r="G128" s="66">
        <v>156</v>
      </c>
    </row>
    <row r="129" spans="3:7" ht="18" x14ac:dyDescent="0.35">
      <c r="C129" s="23" t="s">
        <v>2</v>
      </c>
      <c r="D129" s="23" t="s">
        <v>38</v>
      </c>
      <c r="E129" s="23" t="s">
        <v>23</v>
      </c>
      <c r="F129" s="65">
        <v>4417</v>
      </c>
      <c r="G129" s="66">
        <v>153</v>
      </c>
    </row>
    <row r="130" spans="3:7" ht="18" x14ac:dyDescent="0.35">
      <c r="C130" s="23" t="s">
        <v>8</v>
      </c>
      <c r="D130" s="23" t="s">
        <v>37</v>
      </c>
      <c r="E130" s="23" t="s">
        <v>30</v>
      </c>
      <c r="F130" s="65">
        <v>42</v>
      </c>
      <c r="G130" s="66">
        <v>150</v>
      </c>
    </row>
    <row r="131" spans="3:7" ht="18" x14ac:dyDescent="0.35">
      <c r="C131" s="23" t="s">
        <v>6</v>
      </c>
      <c r="D131" s="23" t="s">
        <v>34</v>
      </c>
      <c r="E131" s="23" t="s">
        <v>17</v>
      </c>
      <c r="F131" s="65">
        <v>3759</v>
      </c>
      <c r="G131" s="66">
        <v>150</v>
      </c>
    </row>
    <row r="132" spans="3:7" ht="18" x14ac:dyDescent="0.35">
      <c r="C132" s="23" t="s">
        <v>8</v>
      </c>
      <c r="D132" s="23" t="s">
        <v>36</v>
      </c>
      <c r="E132" s="23" t="s">
        <v>23</v>
      </c>
      <c r="F132" s="65">
        <v>5019</v>
      </c>
      <c r="G132" s="66">
        <v>150</v>
      </c>
    </row>
    <row r="133" spans="3:7" ht="18" x14ac:dyDescent="0.35">
      <c r="C133" s="23" t="s">
        <v>9</v>
      </c>
      <c r="D133" s="23" t="s">
        <v>34</v>
      </c>
      <c r="E133" s="23" t="s">
        <v>28</v>
      </c>
      <c r="F133" s="65">
        <v>14329</v>
      </c>
      <c r="G133" s="66">
        <v>150</v>
      </c>
    </row>
    <row r="134" spans="3:7" ht="18" x14ac:dyDescent="0.35">
      <c r="C134" s="23" t="s">
        <v>9</v>
      </c>
      <c r="D134" s="23" t="s">
        <v>35</v>
      </c>
      <c r="E134" s="23" t="s">
        <v>4</v>
      </c>
      <c r="F134" s="65">
        <v>959</v>
      </c>
      <c r="G134" s="66">
        <v>147</v>
      </c>
    </row>
    <row r="135" spans="3:7" ht="18" x14ac:dyDescent="0.35">
      <c r="C135" s="23" t="s">
        <v>41</v>
      </c>
      <c r="D135" s="23" t="s">
        <v>34</v>
      </c>
      <c r="E135" s="23" t="s">
        <v>22</v>
      </c>
      <c r="F135" s="65">
        <v>336</v>
      </c>
      <c r="G135" s="66">
        <v>144</v>
      </c>
    </row>
    <row r="136" spans="3:7" ht="18" x14ac:dyDescent="0.35">
      <c r="C136" s="23" t="s">
        <v>9</v>
      </c>
      <c r="D136" s="23" t="s">
        <v>35</v>
      </c>
      <c r="E136" s="23" t="s">
        <v>27</v>
      </c>
      <c r="F136" s="65">
        <v>2429</v>
      </c>
      <c r="G136" s="66">
        <v>144</v>
      </c>
    </row>
    <row r="137" spans="3:7" ht="18" x14ac:dyDescent="0.35">
      <c r="C137" s="23" t="s">
        <v>3</v>
      </c>
      <c r="D137" s="23" t="s">
        <v>37</v>
      </c>
      <c r="E137" s="23" t="s">
        <v>17</v>
      </c>
      <c r="F137" s="65">
        <v>3983</v>
      </c>
      <c r="G137" s="66">
        <v>144</v>
      </c>
    </row>
    <row r="138" spans="3:7" ht="18" x14ac:dyDescent="0.35">
      <c r="C138" s="23" t="s">
        <v>2</v>
      </c>
      <c r="D138" s="23" t="s">
        <v>39</v>
      </c>
      <c r="E138" s="23" t="s">
        <v>28</v>
      </c>
      <c r="F138" s="65">
        <v>6027</v>
      </c>
      <c r="G138" s="66">
        <v>144</v>
      </c>
    </row>
    <row r="139" spans="3:7" ht="18" x14ac:dyDescent="0.35">
      <c r="C139" s="23" t="s">
        <v>2</v>
      </c>
      <c r="D139" s="23" t="s">
        <v>39</v>
      </c>
      <c r="E139" s="23" t="s">
        <v>22</v>
      </c>
      <c r="F139" s="65">
        <v>1568</v>
      </c>
      <c r="G139" s="66">
        <v>141</v>
      </c>
    </row>
    <row r="140" spans="3:7" ht="18" x14ac:dyDescent="0.35">
      <c r="C140" s="23" t="s">
        <v>10</v>
      </c>
      <c r="D140" s="23" t="s">
        <v>38</v>
      </c>
      <c r="E140" s="23" t="s">
        <v>22</v>
      </c>
      <c r="F140" s="65">
        <v>2205</v>
      </c>
      <c r="G140" s="66">
        <v>141</v>
      </c>
    </row>
    <row r="141" spans="3:7" ht="18" x14ac:dyDescent="0.35">
      <c r="C141" s="23" t="s">
        <v>7</v>
      </c>
      <c r="D141" s="23" t="s">
        <v>34</v>
      </c>
      <c r="E141" s="23" t="s">
        <v>20</v>
      </c>
      <c r="F141" s="65">
        <v>2205</v>
      </c>
      <c r="G141" s="66">
        <v>138</v>
      </c>
    </row>
    <row r="142" spans="3:7" ht="18" x14ac:dyDescent="0.35">
      <c r="C142" s="23" t="s">
        <v>2</v>
      </c>
      <c r="D142" s="23" t="s">
        <v>37</v>
      </c>
      <c r="E142" s="23" t="s">
        <v>18</v>
      </c>
      <c r="F142" s="65">
        <v>11571</v>
      </c>
      <c r="G142" s="66">
        <v>138</v>
      </c>
    </row>
    <row r="143" spans="3:7" ht="18" x14ac:dyDescent="0.35">
      <c r="C143" s="23" t="s">
        <v>40</v>
      </c>
      <c r="D143" s="23" t="s">
        <v>39</v>
      </c>
      <c r="E143" s="23" t="s">
        <v>29</v>
      </c>
      <c r="F143" s="65">
        <v>0</v>
      </c>
      <c r="G143" s="66">
        <v>135</v>
      </c>
    </row>
    <row r="144" spans="3:7" ht="18" x14ac:dyDescent="0.35">
      <c r="C144" s="23" t="s">
        <v>6</v>
      </c>
      <c r="D144" s="23" t="s">
        <v>38</v>
      </c>
      <c r="E144" s="23" t="s">
        <v>33</v>
      </c>
      <c r="F144" s="65">
        <v>959</v>
      </c>
      <c r="G144" s="66">
        <v>135</v>
      </c>
    </row>
    <row r="145" spans="3:7" ht="18" x14ac:dyDescent="0.35">
      <c r="C145" s="23" t="s">
        <v>6</v>
      </c>
      <c r="D145" s="23" t="s">
        <v>36</v>
      </c>
      <c r="E145" s="23" t="s">
        <v>29</v>
      </c>
      <c r="F145" s="65">
        <v>1400</v>
      </c>
      <c r="G145" s="66">
        <v>135</v>
      </c>
    </row>
    <row r="146" spans="3:7" ht="18" x14ac:dyDescent="0.35">
      <c r="C146" s="23" t="s">
        <v>40</v>
      </c>
      <c r="D146" s="23" t="s">
        <v>34</v>
      </c>
      <c r="E146" s="23" t="s">
        <v>27</v>
      </c>
      <c r="F146" s="65">
        <v>2289</v>
      </c>
      <c r="G146" s="66">
        <v>135</v>
      </c>
    </row>
    <row r="147" spans="3:7" ht="18" x14ac:dyDescent="0.35">
      <c r="C147" s="23" t="s">
        <v>41</v>
      </c>
      <c r="D147" s="23" t="s">
        <v>35</v>
      </c>
      <c r="E147" s="23" t="s">
        <v>27</v>
      </c>
      <c r="F147" s="65">
        <v>847</v>
      </c>
      <c r="G147" s="66">
        <v>129</v>
      </c>
    </row>
    <row r="148" spans="3:7" ht="18" x14ac:dyDescent="0.35">
      <c r="C148" s="23" t="s">
        <v>8</v>
      </c>
      <c r="D148" s="23" t="s">
        <v>35</v>
      </c>
      <c r="E148" s="23" t="s">
        <v>33</v>
      </c>
      <c r="F148" s="65">
        <v>357</v>
      </c>
      <c r="G148" s="66">
        <v>126</v>
      </c>
    </row>
    <row r="149" spans="3:7" ht="18" x14ac:dyDescent="0.35">
      <c r="C149" s="23" t="s">
        <v>40</v>
      </c>
      <c r="D149" s="23" t="s">
        <v>35</v>
      </c>
      <c r="E149" s="23" t="s">
        <v>29</v>
      </c>
      <c r="F149" s="65">
        <v>1617</v>
      </c>
      <c r="G149" s="66">
        <v>126</v>
      </c>
    </row>
    <row r="150" spans="3:7" ht="18" x14ac:dyDescent="0.35">
      <c r="C150" s="23" t="s">
        <v>2</v>
      </c>
      <c r="D150" s="23" t="s">
        <v>39</v>
      </c>
      <c r="E150" s="23" t="s">
        <v>33</v>
      </c>
      <c r="F150" s="65">
        <v>4018</v>
      </c>
      <c r="G150" s="66">
        <v>126</v>
      </c>
    </row>
    <row r="151" spans="3:7" ht="18" x14ac:dyDescent="0.35">
      <c r="C151" s="23" t="s">
        <v>41</v>
      </c>
      <c r="D151" s="23" t="s">
        <v>34</v>
      </c>
      <c r="E151" s="23" t="s">
        <v>23</v>
      </c>
      <c r="F151" s="65">
        <v>4935</v>
      </c>
      <c r="G151" s="66">
        <v>126</v>
      </c>
    </row>
    <row r="152" spans="3:7" ht="18" x14ac:dyDescent="0.35">
      <c r="C152" s="23" t="s">
        <v>10</v>
      </c>
      <c r="D152" s="23" t="s">
        <v>38</v>
      </c>
      <c r="E152" s="23" t="s">
        <v>4</v>
      </c>
      <c r="F152" s="65">
        <v>6860</v>
      </c>
      <c r="G152" s="66">
        <v>126</v>
      </c>
    </row>
    <row r="153" spans="3:7" ht="18" x14ac:dyDescent="0.35">
      <c r="C153" s="23" t="s">
        <v>10</v>
      </c>
      <c r="D153" s="23" t="s">
        <v>38</v>
      </c>
      <c r="E153" s="23" t="s">
        <v>13</v>
      </c>
      <c r="F153" s="65">
        <v>63</v>
      </c>
      <c r="G153" s="66">
        <v>123</v>
      </c>
    </row>
    <row r="154" spans="3:7" ht="18" x14ac:dyDescent="0.35">
      <c r="C154" s="23" t="s">
        <v>6</v>
      </c>
      <c r="D154" s="23" t="s">
        <v>38</v>
      </c>
      <c r="E154" s="23" t="s">
        <v>13</v>
      </c>
      <c r="F154" s="65">
        <v>2317</v>
      </c>
      <c r="G154" s="66">
        <v>123</v>
      </c>
    </row>
    <row r="155" spans="3:7" ht="18" x14ac:dyDescent="0.35">
      <c r="C155" s="23" t="s">
        <v>41</v>
      </c>
      <c r="D155" s="23" t="s">
        <v>37</v>
      </c>
      <c r="E155" s="23" t="s">
        <v>20</v>
      </c>
      <c r="F155" s="65">
        <v>3388</v>
      </c>
      <c r="G155" s="66">
        <v>123</v>
      </c>
    </row>
    <row r="156" spans="3:7" ht="18" x14ac:dyDescent="0.35">
      <c r="C156" s="23" t="s">
        <v>6</v>
      </c>
      <c r="D156" s="23" t="s">
        <v>35</v>
      </c>
      <c r="E156" s="23" t="s">
        <v>30</v>
      </c>
      <c r="F156" s="65">
        <v>4781</v>
      </c>
      <c r="G156" s="66">
        <v>123</v>
      </c>
    </row>
    <row r="157" spans="3:7" ht="18" x14ac:dyDescent="0.35">
      <c r="C157" s="23" t="s">
        <v>6</v>
      </c>
      <c r="D157" s="23" t="s">
        <v>34</v>
      </c>
      <c r="E157" s="23" t="s">
        <v>32</v>
      </c>
      <c r="F157" s="65">
        <v>6734</v>
      </c>
      <c r="G157" s="66">
        <v>123</v>
      </c>
    </row>
    <row r="158" spans="3:7" ht="18" x14ac:dyDescent="0.35">
      <c r="C158" s="23" t="s">
        <v>9</v>
      </c>
      <c r="D158" s="23" t="s">
        <v>38</v>
      </c>
      <c r="E158" s="23" t="s">
        <v>16</v>
      </c>
      <c r="F158" s="65">
        <v>2646</v>
      </c>
      <c r="G158" s="66">
        <v>120</v>
      </c>
    </row>
    <row r="159" spans="3:7" ht="18" x14ac:dyDescent="0.35">
      <c r="C159" s="23" t="s">
        <v>2</v>
      </c>
      <c r="D159" s="23" t="s">
        <v>34</v>
      </c>
      <c r="E159" s="23" t="s">
        <v>19</v>
      </c>
      <c r="F159" s="65">
        <v>7511</v>
      </c>
      <c r="G159" s="66">
        <v>120</v>
      </c>
    </row>
    <row r="160" spans="3:7" ht="18" x14ac:dyDescent="0.35">
      <c r="C160" s="23" t="s">
        <v>6</v>
      </c>
      <c r="D160" s="23" t="s">
        <v>36</v>
      </c>
      <c r="E160" s="23" t="s">
        <v>4</v>
      </c>
      <c r="F160" s="65">
        <v>10073</v>
      </c>
      <c r="G160" s="66">
        <v>120</v>
      </c>
    </row>
    <row r="161" spans="3:7" ht="18" x14ac:dyDescent="0.35">
      <c r="C161" s="23" t="s">
        <v>2</v>
      </c>
      <c r="D161" s="23" t="s">
        <v>39</v>
      </c>
      <c r="E161" s="23" t="s">
        <v>16</v>
      </c>
      <c r="F161" s="65">
        <v>2016</v>
      </c>
      <c r="G161" s="66">
        <v>117</v>
      </c>
    </row>
    <row r="162" spans="3:7" ht="18" x14ac:dyDescent="0.35">
      <c r="C162" s="23" t="s">
        <v>7</v>
      </c>
      <c r="D162" s="23" t="s">
        <v>36</v>
      </c>
      <c r="E162" s="23" t="s">
        <v>31</v>
      </c>
      <c r="F162" s="65">
        <v>2149</v>
      </c>
      <c r="G162" s="66">
        <v>117</v>
      </c>
    </row>
    <row r="163" spans="3:7" ht="18" x14ac:dyDescent="0.35">
      <c r="C163" s="23" t="s">
        <v>3</v>
      </c>
      <c r="D163" s="23" t="s">
        <v>34</v>
      </c>
      <c r="E163" s="23" t="s">
        <v>23</v>
      </c>
      <c r="F163" s="65">
        <v>2212</v>
      </c>
      <c r="G163" s="66">
        <v>117</v>
      </c>
    </row>
    <row r="164" spans="3:7" ht="18" x14ac:dyDescent="0.35">
      <c r="C164" s="23" t="s">
        <v>40</v>
      </c>
      <c r="D164" s="23" t="s">
        <v>37</v>
      </c>
      <c r="E164" s="23" t="s">
        <v>30</v>
      </c>
      <c r="F164" s="65">
        <v>1624</v>
      </c>
      <c r="G164" s="66">
        <v>114</v>
      </c>
    </row>
    <row r="165" spans="3:7" ht="18" x14ac:dyDescent="0.35">
      <c r="C165" s="23" t="s">
        <v>9</v>
      </c>
      <c r="D165" s="23" t="s">
        <v>36</v>
      </c>
      <c r="E165" s="23" t="s">
        <v>25</v>
      </c>
      <c r="F165" s="65">
        <v>2142</v>
      </c>
      <c r="G165" s="66">
        <v>114</v>
      </c>
    </row>
    <row r="166" spans="3:7" ht="18" x14ac:dyDescent="0.35">
      <c r="C166" s="23" t="s">
        <v>7</v>
      </c>
      <c r="D166" s="23" t="s">
        <v>35</v>
      </c>
      <c r="E166" s="23" t="s">
        <v>24</v>
      </c>
      <c r="F166" s="65">
        <v>2793</v>
      </c>
      <c r="G166" s="66">
        <v>114</v>
      </c>
    </row>
    <row r="167" spans="3:7" ht="18" x14ac:dyDescent="0.35">
      <c r="C167" s="23" t="s">
        <v>7</v>
      </c>
      <c r="D167" s="23" t="s">
        <v>37</v>
      </c>
      <c r="E167" s="23" t="s">
        <v>17</v>
      </c>
      <c r="F167" s="65">
        <v>4487</v>
      </c>
      <c r="G167" s="66">
        <v>111</v>
      </c>
    </row>
    <row r="168" spans="3:7" ht="18" x14ac:dyDescent="0.35">
      <c r="C168" s="23" t="s">
        <v>5</v>
      </c>
      <c r="D168" s="23" t="s">
        <v>36</v>
      </c>
      <c r="E168" s="23" t="s">
        <v>30</v>
      </c>
      <c r="F168" s="65">
        <v>1526</v>
      </c>
      <c r="G168" s="66">
        <v>105</v>
      </c>
    </row>
    <row r="169" spans="3:7" ht="18" x14ac:dyDescent="0.35">
      <c r="C169" s="23" t="s">
        <v>6</v>
      </c>
      <c r="D169" s="23" t="s">
        <v>37</v>
      </c>
      <c r="E169" s="23" t="s">
        <v>18</v>
      </c>
      <c r="F169" s="65">
        <v>1505</v>
      </c>
      <c r="G169" s="66">
        <v>102</v>
      </c>
    </row>
    <row r="170" spans="3:7" ht="18" x14ac:dyDescent="0.35">
      <c r="C170" s="23" t="s">
        <v>3</v>
      </c>
      <c r="D170" s="23" t="s">
        <v>39</v>
      </c>
      <c r="E170" s="23" t="s">
        <v>28</v>
      </c>
      <c r="F170" s="65">
        <v>1652</v>
      </c>
      <c r="G170" s="66">
        <v>102</v>
      </c>
    </row>
    <row r="171" spans="3:7" ht="18" x14ac:dyDescent="0.35">
      <c r="C171" s="23" t="s">
        <v>5</v>
      </c>
      <c r="D171" s="23" t="s">
        <v>34</v>
      </c>
      <c r="E171" s="23" t="s">
        <v>29</v>
      </c>
      <c r="F171" s="65">
        <v>2891</v>
      </c>
      <c r="G171" s="66">
        <v>102</v>
      </c>
    </row>
    <row r="172" spans="3:7" ht="18" x14ac:dyDescent="0.35">
      <c r="C172" s="23" t="s">
        <v>9</v>
      </c>
      <c r="D172" s="23" t="s">
        <v>38</v>
      </c>
      <c r="E172" s="23" t="s">
        <v>25</v>
      </c>
      <c r="F172" s="65">
        <v>3850</v>
      </c>
      <c r="G172" s="66">
        <v>102</v>
      </c>
    </row>
    <row r="173" spans="3:7" ht="18" x14ac:dyDescent="0.35">
      <c r="C173" s="23" t="s">
        <v>40</v>
      </c>
      <c r="D173" s="23" t="s">
        <v>38</v>
      </c>
      <c r="E173" s="23" t="s">
        <v>4</v>
      </c>
      <c r="F173" s="65">
        <v>6125</v>
      </c>
      <c r="G173" s="66">
        <v>102</v>
      </c>
    </row>
    <row r="174" spans="3:7" ht="18" x14ac:dyDescent="0.35">
      <c r="C174" s="23" t="s">
        <v>41</v>
      </c>
      <c r="D174" s="23" t="s">
        <v>37</v>
      </c>
      <c r="E174" s="23" t="s">
        <v>24</v>
      </c>
      <c r="F174" s="65">
        <v>6398</v>
      </c>
      <c r="G174" s="66">
        <v>102</v>
      </c>
    </row>
    <row r="175" spans="3:7" ht="18" x14ac:dyDescent="0.35">
      <c r="C175" s="23" t="s">
        <v>41</v>
      </c>
      <c r="D175" s="23" t="s">
        <v>35</v>
      </c>
      <c r="E175" s="23" t="s">
        <v>19</v>
      </c>
      <c r="F175" s="65">
        <v>609</v>
      </c>
      <c r="G175" s="66">
        <v>99</v>
      </c>
    </row>
    <row r="176" spans="3:7" ht="18" x14ac:dyDescent="0.35">
      <c r="C176" s="23" t="s">
        <v>9</v>
      </c>
      <c r="D176" s="23" t="s">
        <v>38</v>
      </c>
      <c r="E176" s="23" t="s">
        <v>26</v>
      </c>
      <c r="F176" s="65">
        <v>2436</v>
      </c>
      <c r="G176" s="66">
        <v>99</v>
      </c>
    </row>
    <row r="177" spans="3:7" ht="18" x14ac:dyDescent="0.35">
      <c r="C177" s="23" t="s">
        <v>7</v>
      </c>
      <c r="D177" s="23" t="s">
        <v>34</v>
      </c>
      <c r="E177" s="23" t="s">
        <v>25</v>
      </c>
      <c r="F177" s="65">
        <v>1568</v>
      </c>
      <c r="G177" s="66">
        <v>96</v>
      </c>
    </row>
    <row r="178" spans="3:7" ht="18" x14ac:dyDescent="0.35">
      <c r="C178" s="23" t="s">
        <v>10</v>
      </c>
      <c r="D178" s="23" t="s">
        <v>35</v>
      </c>
      <c r="E178" s="23" t="s">
        <v>14</v>
      </c>
      <c r="F178" s="65">
        <v>3472</v>
      </c>
      <c r="G178" s="66">
        <v>96</v>
      </c>
    </row>
    <row r="179" spans="3:7" ht="18" x14ac:dyDescent="0.35">
      <c r="C179" s="23" t="s">
        <v>9</v>
      </c>
      <c r="D179" s="23" t="s">
        <v>37</v>
      </c>
      <c r="E179" s="23" t="s">
        <v>20</v>
      </c>
      <c r="F179" s="65">
        <v>7273</v>
      </c>
      <c r="G179" s="66">
        <v>96</v>
      </c>
    </row>
    <row r="180" spans="3:7" ht="18" x14ac:dyDescent="0.35">
      <c r="C180" s="23" t="s">
        <v>10</v>
      </c>
      <c r="D180" s="23" t="s">
        <v>34</v>
      </c>
      <c r="E180" s="23" t="s">
        <v>25</v>
      </c>
      <c r="F180" s="65">
        <v>1428</v>
      </c>
      <c r="G180" s="66">
        <v>93</v>
      </c>
    </row>
    <row r="181" spans="3:7" ht="18" x14ac:dyDescent="0.35">
      <c r="C181" s="23" t="s">
        <v>5</v>
      </c>
      <c r="D181" s="23" t="s">
        <v>34</v>
      </c>
      <c r="E181" s="23" t="s">
        <v>33</v>
      </c>
      <c r="F181" s="65">
        <v>1652</v>
      </c>
      <c r="G181" s="66">
        <v>93</v>
      </c>
    </row>
    <row r="182" spans="3:7" ht="18" x14ac:dyDescent="0.35">
      <c r="C182" s="23" t="s">
        <v>9</v>
      </c>
      <c r="D182" s="23" t="s">
        <v>37</v>
      </c>
      <c r="E182" s="23" t="s">
        <v>23</v>
      </c>
      <c r="F182" s="65">
        <v>2737</v>
      </c>
      <c r="G182" s="66">
        <v>93</v>
      </c>
    </row>
    <row r="183" spans="3:7" ht="18" x14ac:dyDescent="0.35">
      <c r="C183" s="23" t="s">
        <v>3</v>
      </c>
      <c r="D183" s="23" t="s">
        <v>34</v>
      </c>
      <c r="E183" s="23" t="s">
        <v>17</v>
      </c>
      <c r="F183" s="65">
        <v>2919</v>
      </c>
      <c r="G183" s="66">
        <v>93</v>
      </c>
    </row>
    <row r="184" spans="3:7" ht="18" x14ac:dyDescent="0.35">
      <c r="C184" s="23" t="s">
        <v>40</v>
      </c>
      <c r="D184" s="23" t="s">
        <v>37</v>
      </c>
      <c r="E184" s="23" t="s">
        <v>27</v>
      </c>
      <c r="F184" s="65">
        <v>6132</v>
      </c>
      <c r="G184" s="66">
        <v>93</v>
      </c>
    </row>
    <row r="185" spans="3:7" ht="18" x14ac:dyDescent="0.35">
      <c r="C185" s="23" t="s">
        <v>40</v>
      </c>
      <c r="D185" s="23" t="s">
        <v>38</v>
      </c>
      <c r="E185" s="23" t="s">
        <v>25</v>
      </c>
      <c r="F185" s="65">
        <v>2541</v>
      </c>
      <c r="G185" s="66">
        <v>90</v>
      </c>
    </row>
    <row r="186" spans="3:7" ht="18" x14ac:dyDescent="0.35">
      <c r="C186" s="23" t="s">
        <v>9</v>
      </c>
      <c r="D186" s="23" t="s">
        <v>34</v>
      </c>
      <c r="E186" s="23" t="s">
        <v>23</v>
      </c>
      <c r="F186" s="65">
        <v>8155</v>
      </c>
      <c r="G186" s="66">
        <v>90</v>
      </c>
    </row>
    <row r="187" spans="3:7" ht="18" x14ac:dyDescent="0.35">
      <c r="C187" s="23" t="s">
        <v>40</v>
      </c>
      <c r="D187" s="23" t="s">
        <v>36</v>
      </c>
      <c r="E187" s="23" t="s">
        <v>33</v>
      </c>
      <c r="F187" s="65">
        <v>9772</v>
      </c>
      <c r="G187" s="66">
        <v>90</v>
      </c>
    </row>
    <row r="188" spans="3:7" ht="18" x14ac:dyDescent="0.35">
      <c r="C188" s="23" t="s">
        <v>7</v>
      </c>
      <c r="D188" s="23" t="s">
        <v>36</v>
      </c>
      <c r="E188" s="23" t="s">
        <v>32</v>
      </c>
      <c r="F188" s="65">
        <v>280</v>
      </c>
      <c r="G188" s="66">
        <v>87</v>
      </c>
    </row>
    <row r="189" spans="3:7" ht="18" x14ac:dyDescent="0.35">
      <c r="C189" s="23" t="s">
        <v>8</v>
      </c>
      <c r="D189" s="23" t="s">
        <v>37</v>
      </c>
      <c r="E189" s="23" t="s">
        <v>21</v>
      </c>
      <c r="F189" s="65">
        <v>434</v>
      </c>
      <c r="G189" s="66">
        <v>87</v>
      </c>
    </row>
    <row r="190" spans="3:7" ht="18" x14ac:dyDescent="0.35">
      <c r="C190" s="23" t="s">
        <v>40</v>
      </c>
      <c r="D190" s="23" t="s">
        <v>38</v>
      </c>
      <c r="E190" s="23" t="s">
        <v>26</v>
      </c>
      <c r="F190" s="65">
        <v>609</v>
      </c>
      <c r="G190" s="66">
        <v>87</v>
      </c>
    </row>
    <row r="191" spans="3:7" ht="18" x14ac:dyDescent="0.35">
      <c r="C191" s="23" t="s">
        <v>10</v>
      </c>
      <c r="D191" s="23" t="s">
        <v>34</v>
      </c>
      <c r="E191" s="23" t="s">
        <v>17</v>
      </c>
      <c r="F191" s="65">
        <v>700</v>
      </c>
      <c r="G191" s="66">
        <v>87</v>
      </c>
    </row>
    <row r="192" spans="3:7" ht="18" x14ac:dyDescent="0.35">
      <c r="C192" s="23" t="s">
        <v>6</v>
      </c>
      <c r="D192" s="23" t="s">
        <v>37</v>
      </c>
      <c r="E192" s="23" t="s">
        <v>31</v>
      </c>
      <c r="F192" s="65">
        <v>7693</v>
      </c>
      <c r="G192" s="66">
        <v>87</v>
      </c>
    </row>
    <row r="193" spans="3:7" ht="18" x14ac:dyDescent="0.35">
      <c r="C193" s="23" t="s">
        <v>9</v>
      </c>
      <c r="D193" s="23" t="s">
        <v>38</v>
      </c>
      <c r="E193" s="23" t="s">
        <v>33</v>
      </c>
      <c r="F193" s="65">
        <v>9506</v>
      </c>
      <c r="G193" s="66">
        <v>87</v>
      </c>
    </row>
    <row r="194" spans="3:7" ht="18" x14ac:dyDescent="0.35">
      <c r="C194" s="23" t="s">
        <v>8</v>
      </c>
      <c r="D194" s="23" t="s">
        <v>38</v>
      </c>
      <c r="E194" s="23" t="s">
        <v>22</v>
      </c>
      <c r="F194" s="65">
        <v>168</v>
      </c>
      <c r="G194" s="66">
        <v>84</v>
      </c>
    </row>
    <row r="195" spans="3:7" ht="18" x14ac:dyDescent="0.35">
      <c r="C195" s="23" t="s">
        <v>5</v>
      </c>
      <c r="D195" s="23" t="s">
        <v>35</v>
      </c>
      <c r="E195" s="23" t="s">
        <v>22</v>
      </c>
      <c r="F195" s="65">
        <v>490</v>
      </c>
      <c r="G195" s="66">
        <v>84</v>
      </c>
    </row>
    <row r="196" spans="3:7" ht="18" x14ac:dyDescent="0.35">
      <c r="C196" s="23" t="s">
        <v>41</v>
      </c>
      <c r="D196" s="23" t="s">
        <v>36</v>
      </c>
      <c r="E196" s="23" t="s">
        <v>32</v>
      </c>
      <c r="F196" s="65">
        <v>10304</v>
      </c>
      <c r="G196" s="66">
        <v>84</v>
      </c>
    </row>
    <row r="197" spans="3:7" ht="18" x14ac:dyDescent="0.35">
      <c r="C197" s="23" t="s">
        <v>6</v>
      </c>
      <c r="D197" s="23" t="s">
        <v>37</v>
      </c>
      <c r="E197" s="23" t="s">
        <v>30</v>
      </c>
      <c r="F197" s="65">
        <v>560</v>
      </c>
      <c r="G197" s="66">
        <v>81</v>
      </c>
    </row>
    <row r="198" spans="3:7" ht="18" x14ac:dyDescent="0.35">
      <c r="C198" s="23" t="s">
        <v>8</v>
      </c>
      <c r="D198" s="23" t="s">
        <v>35</v>
      </c>
      <c r="E198" s="23" t="s">
        <v>30</v>
      </c>
      <c r="F198" s="65">
        <v>3598</v>
      </c>
      <c r="G198" s="66">
        <v>81</v>
      </c>
    </row>
    <row r="199" spans="3:7" ht="18" x14ac:dyDescent="0.35">
      <c r="C199" s="23" t="s">
        <v>5</v>
      </c>
      <c r="D199" s="23" t="s">
        <v>39</v>
      </c>
      <c r="E199" s="23" t="s">
        <v>22</v>
      </c>
      <c r="F199" s="65">
        <v>6909</v>
      </c>
      <c r="G199" s="66">
        <v>81</v>
      </c>
    </row>
    <row r="200" spans="3:7" ht="18" x14ac:dyDescent="0.35">
      <c r="C200" s="23" t="s">
        <v>2</v>
      </c>
      <c r="D200" s="23" t="s">
        <v>39</v>
      </c>
      <c r="E200" s="23" t="s">
        <v>27</v>
      </c>
      <c r="F200" s="65">
        <v>7812</v>
      </c>
      <c r="G200" s="66">
        <v>81</v>
      </c>
    </row>
    <row r="201" spans="3:7" ht="18" x14ac:dyDescent="0.35">
      <c r="C201" s="23" t="s">
        <v>3</v>
      </c>
      <c r="D201" s="23" t="s">
        <v>35</v>
      </c>
      <c r="E201" s="23" t="s">
        <v>23</v>
      </c>
      <c r="F201" s="65">
        <v>2023</v>
      </c>
      <c r="G201" s="66">
        <v>78</v>
      </c>
    </row>
    <row r="202" spans="3:7" ht="18" x14ac:dyDescent="0.35">
      <c r="C202" s="23" t="s">
        <v>8</v>
      </c>
      <c r="D202" s="23" t="s">
        <v>38</v>
      </c>
      <c r="E202" s="23" t="s">
        <v>21</v>
      </c>
      <c r="F202" s="65">
        <v>6433</v>
      </c>
      <c r="G202" s="66">
        <v>78</v>
      </c>
    </row>
    <row r="203" spans="3:7" ht="18" x14ac:dyDescent="0.35">
      <c r="C203" s="23" t="s">
        <v>6</v>
      </c>
      <c r="D203" s="23" t="s">
        <v>38</v>
      </c>
      <c r="E203" s="23" t="s">
        <v>25</v>
      </c>
      <c r="F203" s="65">
        <v>469</v>
      </c>
      <c r="G203" s="66">
        <v>75</v>
      </c>
    </row>
    <row r="204" spans="3:7" ht="18" x14ac:dyDescent="0.35">
      <c r="C204" s="23" t="s">
        <v>5</v>
      </c>
      <c r="D204" s="23" t="s">
        <v>37</v>
      </c>
      <c r="E204" s="23" t="s">
        <v>22</v>
      </c>
      <c r="F204" s="65">
        <v>518</v>
      </c>
      <c r="G204" s="66">
        <v>75</v>
      </c>
    </row>
    <row r="205" spans="3:7" ht="18" x14ac:dyDescent="0.35">
      <c r="C205" s="23" t="s">
        <v>10</v>
      </c>
      <c r="D205" s="23" t="s">
        <v>36</v>
      </c>
      <c r="E205" s="23" t="s">
        <v>13</v>
      </c>
      <c r="F205" s="65">
        <v>945</v>
      </c>
      <c r="G205" s="66">
        <v>75</v>
      </c>
    </row>
    <row r="206" spans="3:7" ht="18" x14ac:dyDescent="0.35">
      <c r="C206" s="23" t="s">
        <v>7</v>
      </c>
      <c r="D206" s="23" t="s">
        <v>38</v>
      </c>
      <c r="E206" s="23" t="s">
        <v>14</v>
      </c>
      <c r="F206" s="65">
        <v>1281</v>
      </c>
      <c r="G206" s="66">
        <v>75</v>
      </c>
    </row>
    <row r="207" spans="3:7" ht="18" x14ac:dyDescent="0.35">
      <c r="C207" s="23" t="s">
        <v>6</v>
      </c>
      <c r="D207" s="23" t="s">
        <v>34</v>
      </c>
      <c r="E207" s="23" t="s">
        <v>16</v>
      </c>
      <c r="F207" s="65">
        <v>2219</v>
      </c>
      <c r="G207" s="66">
        <v>75</v>
      </c>
    </row>
    <row r="208" spans="3:7" ht="18" x14ac:dyDescent="0.35">
      <c r="C208" s="23" t="s">
        <v>40</v>
      </c>
      <c r="D208" s="23" t="s">
        <v>34</v>
      </c>
      <c r="E208" s="23" t="s">
        <v>23</v>
      </c>
      <c r="F208" s="65">
        <v>2779</v>
      </c>
      <c r="G208" s="66">
        <v>75</v>
      </c>
    </row>
    <row r="209" spans="3:7" ht="18" x14ac:dyDescent="0.35">
      <c r="C209" s="23" t="s">
        <v>7</v>
      </c>
      <c r="D209" s="23" t="s">
        <v>34</v>
      </c>
      <c r="E209" s="23" t="s">
        <v>32</v>
      </c>
      <c r="F209" s="65">
        <v>3262</v>
      </c>
      <c r="G209" s="66">
        <v>75</v>
      </c>
    </row>
    <row r="210" spans="3:7" ht="18" x14ac:dyDescent="0.35">
      <c r="C210" s="23" t="s">
        <v>6</v>
      </c>
      <c r="D210" s="23" t="s">
        <v>34</v>
      </c>
      <c r="E210" s="23" t="s">
        <v>29</v>
      </c>
      <c r="F210" s="65">
        <v>3339</v>
      </c>
      <c r="G210" s="66">
        <v>75</v>
      </c>
    </row>
    <row r="211" spans="3:7" ht="18" x14ac:dyDescent="0.35">
      <c r="C211" s="23" t="s">
        <v>2</v>
      </c>
      <c r="D211" s="23" t="s">
        <v>36</v>
      </c>
      <c r="E211" s="23" t="s">
        <v>29</v>
      </c>
      <c r="F211" s="65">
        <v>8211</v>
      </c>
      <c r="G211" s="66">
        <v>75</v>
      </c>
    </row>
    <row r="212" spans="3:7" ht="18" x14ac:dyDescent="0.35">
      <c r="C212" s="23" t="s">
        <v>10</v>
      </c>
      <c r="D212" s="23" t="s">
        <v>36</v>
      </c>
      <c r="E212" s="23" t="s">
        <v>27</v>
      </c>
      <c r="F212" s="65">
        <v>1407</v>
      </c>
      <c r="G212" s="66">
        <v>72</v>
      </c>
    </row>
    <row r="213" spans="3:7" ht="18" x14ac:dyDescent="0.35">
      <c r="C213" s="23" t="s">
        <v>9</v>
      </c>
      <c r="D213" s="23" t="s">
        <v>39</v>
      </c>
      <c r="E213" s="23" t="s">
        <v>25</v>
      </c>
      <c r="F213" s="65">
        <v>3192</v>
      </c>
      <c r="G213" s="66">
        <v>72</v>
      </c>
    </row>
    <row r="214" spans="3:7" ht="18" x14ac:dyDescent="0.35">
      <c r="C214" s="23" t="s">
        <v>41</v>
      </c>
      <c r="D214" s="23" t="s">
        <v>39</v>
      </c>
      <c r="E214" s="23" t="s">
        <v>14</v>
      </c>
      <c r="F214" s="65">
        <v>3976</v>
      </c>
      <c r="G214" s="66">
        <v>72</v>
      </c>
    </row>
    <row r="215" spans="3:7" ht="18" x14ac:dyDescent="0.35">
      <c r="C215" s="23" t="s">
        <v>40</v>
      </c>
      <c r="D215" s="23" t="s">
        <v>37</v>
      </c>
      <c r="E215" s="23" t="s">
        <v>29</v>
      </c>
      <c r="F215" s="65">
        <v>9002</v>
      </c>
      <c r="G215" s="66">
        <v>72</v>
      </c>
    </row>
    <row r="216" spans="3:7" ht="18" x14ac:dyDescent="0.35">
      <c r="C216" s="23" t="s">
        <v>41</v>
      </c>
      <c r="D216" s="23" t="s">
        <v>35</v>
      </c>
      <c r="E216" s="23" t="s">
        <v>13</v>
      </c>
      <c r="F216" s="65">
        <v>4760</v>
      </c>
      <c r="G216" s="66">
        <v>69</v>
      </c>
    </row>
    <row r="217" spans="3:7" ht="18" x14ac:dyDescent="0.35">
      <c r="C217" s="23" t="s">
        <v>3</v>
      </c>
      <c r="D217" s="23" t="s">
        <v>35</v>
      </c>
      <c r="E217" s="23" t="s">
        <v>29</v>
      </c>
      <c r="F217" s="65">
        <v>2114</v>
      </c>
      <c r="G217" s="66">
        <v>66</v>
      </c>
    </row>
    <row r="218" spans="3:7" ht="18" x14ac:dyDescent="0.35">
      <c r="C218" s="23" t="s">
        <v>6</v>
      </c>
      <c r="D218" s="23" t="s">
        <v>36</v>
      </c>
      <c r="E218" s="23" t="s">
        <v>21</v>
      </c>
      <c r="F218" s="65">
        <v>497</v>
      </c>
      <c r="G218" s="66">
        <v>63</v>
      </c>
    </row>
    <row r="219" spans="3:7" ht="18" x14ac:dyDescent="0.35">
      <c r="C219" s="23" t="s">
        <v>6</v>
      </c>
      <c r="D219" s="23" t="s">
        <v>39</v>
      </c>
      <c r="E219" s="23" t="s">
        <v>30</v>
      </c>
      <c r="F219" s="65">
        <v>1638</v>
      </c>
      <c r="G219" s="66">
        <v>63</v>
      </c>
    </row>
    <row r="220" spans="3:7" ht="18" x14ac:dyDescent="0.35">
      <c r="C220" s="23" t="s">
        <v>8</v>
      </c>
      <c r="D220" s="23" t="s">
        <v>38</v>
      </c>
      <c r="E220" s="23" t="s">
        <v>27</v>
      </c>
      <c r="F220" s="65">
        <v>2268</v>
      </c>
      <c r="G220" s="66">
        <v>63</v>
      </c>
    </row>
    <row r="221" spans="3:7" ht="18" x14ac:dyDescent="0.35">
      <c r="C221" s="23" t="s">
        <v>7</v>
      </c>
      <c r="D221" s="23" t="s">
        <v>35</v>
      </c>
      <c r="E221" s="23" t="s">
        <v>14</v>
      </c>
      <c r="F221" s="65">
        <v>4606</v>
      </c>
      <c r="G221" s="66">
        <v>63</v>
      </c>
    </row>
    <row r="222" spans="3:7" ht="18" x14ac:dyDescent="0.35">
      <c r="C222" s="23" t="s">
        <v>5</v>
      </c>
      <c r="D222" s="23" t="s">
        <v>36</v>
      </c>
      <c r="E222" s="23" t="s">
        <v>13</v>
      </c>
      <c r="F222" s="65">
        <v>6146</v>
      </c>
      <c r="G222" s="66">
        <v>63</v>
      </c>
    </row>
    <row r="223" spans="3:7" ht="18" x14ac:dyDescent="0.35">
      <c r="C223" s="23" t="s">
        <v>9</v>
      </c>
      <c r="D223" s="23" t="s">
        <v>38</v>
      </c>
      <c r="E223" s="23" t="s">
        <v>24</v>
      </c>
      <c r="F223" s="65">
        <v>4137</v>
      </c>
      <c r="G223" s="66">
        <v>60</v>
      </c>
    </row>
    <row r="224" spans="3:7" ht="18" x14ac:dyDescent="0.35">
      <c r="C224" s="23" t="s">
        <v>9</v>
      </c>
      <c r="D224" s="23" t="s">
        <v>36</v>
      </c>
      <c r="E224" s="23" t="s">
        <v>30</v>
      </c>
      <c r="F224" s="65">
        <v>9051</v>
      </c>
      <c r="G224" s="66">
        <v>57</v>
      </c>
    </row>
    <row r="225" spans="3:7" ht="18" x14ac:dyDescent="0.35">
      <c r="C225" s="23" t="s">
        <v>2</v>
      </c>
      <c r="D225" s="23" t="s">
        <v>34</v>
      </c>
      <c r="E225" s="23" t="s">
        <v>13</v>
      </c>
      <c r="F225" s="65">
        <v>252</v>
      </c>
      <c r="G225" s="66">
        <v>54</v>
      </c>
    </row>
    <row r="226" spans="3:7" ht="18" x14ac:dyDescent="0.35">
      <c r="C226" s="23" t="s">
        <v>2</v>
      </c>
      <c r="D226" s="23" t="s">
        <v>37</v>
      </c>
      <c r="E226" s="23" t="s">
        <v>14</v>
      </c>
      <c r="F226" s="65">
        <v>1057</v>
      </c>
      <c r="G226" s="66">
        <v>54</v>
      </c>
    </row>
    <row r="227" spans="3:7" ht="18" x14ac:dyDescent="0.35">
      <c r="C227" s="23" t="s">
        <v>6</v>
      </c>
      <c r="D227" s="23" t="s">
        <v>38</v>
      </c>
      <c r="E227" s="23" t="s">
        <v>31</v>
      </c>
      <c r="F227" s="65">
        <v>2681</v>
      </c>
      <c r="G227" s="66">
        <v>54</v>
      </c>
    </row>
    <row r="228" spans="3:7" ht="18" x14ac:dyDescent="0.35">
      <c r="C228" s="23" t="s">
        <v>3</v>
      </c>
      <c r="D228" s="23" t="s">
        <v>34</v>
      </c>
      <c r="E228" s="23" t="s">
        <v>26</v>
      </c>
      <c r="F228" s="65">
        <v>3108</v>
      </c>
      <c r="G228" s="66">
        <v>54</v>
      </c>
    </row>
    <row r="229" spans="3:7" ht="18" x14ac:dyDescent="0.35">
      <c r="C229" s="23" t="s">
        <v>7</v>
      </c>
      <c r="D229" s="23" t="s">
        <v>37</v>
      </c>
      <c r="E229" s="23" t="s">
        <v>30</v>
      </c>
      <c r="F229" s="65">
        <v>6454</v>
      </c>
      <c r="G229" s="66">
        <v>54</v>
      </c>
    </row>
    <row r="230" spans="3:7" ht="18" x14ac:dyDescent="0.35">
      <c r="C230" s="23" t="s">
        <v>5</v>
      </c>
      <c r="D230" s="23" t="s">
        <v>38</v>
      </c>
      <c r="E230" s="23" t="s">
        <v>13</v>
      </c>
      <c r="F230" s="65">
        <v>7189</v>
      </c>
      <c r="G230" s="66">
        <v>54</v>
      </c>
    </row>
    <row r="231" spans="3:7" ht="18" x14ac:dyDescent="0.35">
      <c r="C231" s="23" t="s">
        <v>2</v>
      </c>
      <c r="D231" s="23" t="s">
        <v>38</v>
      </c>
      <c r="E231" s="23" t="s">
        <v>13</v>
      </c>
      <c r="F231" s="65">
        <v>56</v>
      </c>
      <c r="G231" s="66">
        <v>51</v>
      </c>
    </row>
    <row r="232" spans="3:7" ht="18" x14ac:dyDescent="0.35">
      <c r="C232" s="23" t="s">
        <v>40</v>
      </c>
      <c r="D232" s="23" t="s">
        <v>38</v>
      </c>
      <c r="E232" s="23" t="s">
        <v>24</v>
      </c>
      <c r="F232" s="65">
        <v>623</v>
      </c>
      <c r="G232" s="66">
        <v>51</v>
      </c>
    </row>
    <row r="233" spans="3:7" ht="18" x14ac:dyDescent="0.35">
      <c r="C233" s="23" t="s">
        <v>3</v>
      </c>
      <c r="D233" s="23" t="s">
        <v>39</v>
      </c>
      <c r="E233" s="23" t="s">
        <v>29</v>
      </c>
      <c r="F233" s="65">
        <v>3640</v>
      </c>
      <c r="G233" s="66">
        <v>51</v>
      </c>
    </row>
    <row r="234" spans="3:7" ht="18" x14ac:dyDescent="0.35">
      <c r="C234" s="23" t="s">
        <v>5</v>
      </c>
      <c r="D234" s="23" t="s">
        <v>39</v>
      </c>
      <c r="E234" s="23" t="s">
        <v>26</v>
      </c>
      <c r="F234" s="65">
        <v>5236</v>
      </c>
      <c r="G234" s="66">
        <v>51</v>
      </c>
    </row>
    <row r="235" spans="3:7" ht="18" x14ac:dyDescent="0.35">
      <c r="C235" s="23" t="s">
        <v>5</v>
      </c>
      <c r="D235" s="23" t="s">
        <v>37</v>
      </c>
      <c r="E235" s="23" t="s">
        <v>31</v>
      </c>
      <c r="F235" s="65">
        <v>182</v>
      </c>
      <c r="G235" s="66">
        <v>48</v>
      </c>
    </row>
    <row r="236" spans="3:7" ht="18" x14ac:dyDescent="0.35">
      <c r="C236" s="23" t="s">
        <v>2</v>
      </c>
      <c r="D236" s="23" t="s">
        <v>36</v>
      </c>
      <c r="E236" s="23" t="s">
        <v>17</v>
      </c>
      <c r="F236" s="65">
        <v>189</v>
      </c>
      <c r="G236" s="66">
        <v>48</v>
      </c>
    </row>
    <row r="237" spans="3:7" ht="18" x14ac:dyDescent="0.35">
      <c r="C237" s="23" t="s">
        <v>6</v>
      </c>
      <c r="D237" s="23" t="s">
        <v>34</v>
      </c>
      <c r="E237" s="23" t="s">
        <v>4</v>
      </c>
      <c r="F237" s="65">
        <v>525</v>
      </c>
      <c r="G237" s="66">
        <v>48</v>
      </c>
    </row>
    <row r="238" spans="3:7" ht="18" x14ac:dyDescent="0.35">
      <c r="C238" s="23" t="s">
        <v>40</v>
      </c>
      <c r="D238" s="23" t="s">
        <v>35</v>
      </c>
      <c r="E238" s="23" t="s">
        <v>24</v>
      </c>
      <c r="F238" s="65">
        <v>1638</v>
      </c>
      <c r="G238" s="66">
        <v>48</v>
      </c>
    </row>
    <row r="239" spans="3:7" ht="18" x14ac:dyDescent="0.35">
      <c r="C239" s="23" t="s">
        <v>7</v>
      </c>
      <c r="D239" s="23" t="s">
        <v>34</v>
      </c>
      <c r="E239" s="23" t="s">
        <v>33</v>
      </c>
      <c r="F239" s="65">
        <v>2226</v>
      </c>
      <c r="G239" s="66">
        <v>48</v>
      </c>
    </row>
    <row r="240" spans="3:7" ht="18" x14ac:dyDescent="0.35">
      <c r="C240" s="23" t="s">
        <v>7</v>
      </c>
      <c r="D240" s="23" t="s">
        <v>37</v>
      </c>
      <c r="E240" s="23" t="s">
        <v>33</v>
      </c>
      <c r="F240" s="65">
        <v>6391</v>
      </c>
      <c r="G240" s="66">
        <v>48</v>
      </c>
    </row>
    <row r="241" spans="3:7" ht="18" x14ac:dyDescent="0.35">
      <c r="C241" s="23" t="s">
        <v>40</v>
      </c>
      <c r="D241" s="23" t="s">
        <v>34</v>
      </c>
      <c r="E241" s="23" t="s">
        <v>26</v>
      </c>
      <c r="F241" s="65">
        <v>6748</v>
      </c>
      <c r="G241" s="66">
        <v>48</v>
      </c>
    </row>
    <row r="242" spans="3:7" ht="18" x14ac:dyDescent="0.35">
      <c r="C242" s="23" t="s">
        <v>40</v>
      </c>
      <c r="D242" s="23" t="s">
        <v>38</v>
      </c>
      <c r="E242" s="23" t="s">
        <v>29</v>
      </c>
      <c r="F242" s="65">
        <v>2541</v>
      </c>
      <c r="G242" s="66">
        <v>45</v>
      </c>
    </row>
    <row r="243" spans="3:7" ht="18" x14ac:dyDescent="0.35">
      <c r="C243" s="23" t="s">
        <v>9</v>
      </c>
      <c r="D243" s="23" t="s">
        <v>37</v>
      </c>
      <c r="E243" s="23" t="s">
        <v>28</v>
      </c>
      <c r="F243" s="65">
        <v>2919</v>
      </c>
      <c r="G243" s="66">
        <v>45</v>
      </c>
    </row>
    <row r="244" spans="3:7" ht="18" x14ac:dyDescent="0.35">
      <c r="C244" s="23" t="s">
        <v>8</v>
      </c>
      <c r="D244" s="23" t="s">
        <v>37</v>
      </c>
      <c r="E244" s="23" t="s">
        <v>26</v>
      </c>
      <c r="F244" s="65">
        <v>6279</v>
      </c>
      <c r="G244" s="66">
        <v>45</v>
      </c>
    </row>
    <row r="245" spans="3:7" ht="18" x14ac:dyDescent="0.35">
      <c r="C245" s="23" t="s">
        <v>5</v>
      </c>
      <c r="D245" s="23" t="s">
        <v>38</v>
      </c>
      <c r="E245" s="23" t="s">
        <v>25</v>
      </c>
      <c r="F245" s="65">
        <v>7483</v>
      </c>
      <c r="G245" s="66">
        <v>45</v>
      </c>
    </row>
    <row r="246" spans="3:7" ht="18" x14ac:dyDescent="0.35">
      <c r="C246" s="23" t="s">
        <v>2</v>
      </c>
      <c r="D246" s="23" t="s">
        <v>37</v>
      </c>
      <c r="E246" s="23" t="s">
        <v>15</v>
      </c>
      <c r="F246" s="65">
        <v>2863</v>
      </c>
      <c r="G246" s="66">
        <v>42</v>
      </c>
    </row>
    <row r="247" spans="3:7" ht="18" x14ac:dyDescent="0.35">
      <c r="C247" s="23" t="s">
        <v>40</v>
      </c>
      <c r="D247" s="23" t="s">
        <v>39</v>
      </c>
      <c r="E247" s="23" t="s">
        <v>15</v>
      </c>
      <c r="F247" s="65">
        <v>5775</v>
      </c>
      <c r="G247" s="66">
        <v>42</v>
      </c>
    </row>
    <row r="248" spans="3:7" ht="18" x14ac:dyDescent="0.35">
      <c r="C248" s="23" t="s">
        <v>3</v>
      </c>
      <c r="D248" s="23" t="s">
        <v>34</v>
      </c>
      <c r="E248" s="23" t="s">
        <v>25</v>
      </c>
      <c r="F248" s="65">
        <v>6300</v>
      </c>
      <c r="G248" s="66">
        <v>42</v>
      </c>
    </row>
    <row r="249" spans="3:7" ht="18" x14ac:dyDescent="0.35">
      <c r="C249" s="23" t="s">
        <v>7</v>
      </c>
      <c r="D249" s="23" t="s">
        <v>36</v>
      </c>
      <c r="E249" s="23" t="s">
        <v>22</v>
      </c>
      <c r="F249" s="65">
        <v>8435</v>
      </c>
      <c r="G249" s="66">
        <v>42</v>
      </c>
    </row>
    <row r="250" spans="3:7" ht="18" x14ac:dyDescent="0.35">
      <c r="C250" s="23" t="s">
        <v>41</v>
      </c>
      <c r="D250" s="23" t="s">
        <v>34</v>
      </c>
      <c r="E250" s="23" t="s">
        <v>17</v>
      </c>
      <c r="F250" s="65">
        <v>1463</v>
      </c>
      <c r="G250" s="66">
        <v>39</v>
      </c>
    </row>
    <row r="251" spans="3:7" ht="18" x14ac:dyDescent="0.35">
      <c r="C251" s="23" t="s">
        <v>40</v>
      </c>
      <c r="D251" s="23" t="s">
        <v>38</v>
      </c>
      <c r="E251" s="23" t="s">
        <v>31</v>
      </c>
      <c r="F251" s="65">
        <v>1988</v>
      </c>
      <c r="G251" s="66">
        <v>39</v>
      </c>
    </row>
    <row r="252" spans="3:7" ht="18" x14ac:dyDescent="0.35">
      <c r="C252" s="23" t="s">
        <v>3</v>
      </c>
      <c r="D252" s="23" t="s">
        <v>36</v>
      </c>
      <c r="E252" s="23" t="s">
        <v>25</v>
      </c>
      <c r="F252" s="65">
        <v>3339</v>
      </c>
      <c r="G252" s="66">
        <v>39</v>
      </c>
    </row>
    <row r="253" spans="3:7" ht="18" x14ac:dyDescent="0.35">
      <c r="C253" s="23" t="s">
        <v>7</v>
      </c>
      <c r="D253" s="23" t="s">
        <v>34</v>
      </c>
      <c r="E253" s="23" t="s">
        <v>17</v>
      </c>
      <c r="F253" s="65">
        <v>7777</v>
      </c>
      <c r="G253" s="66">
        <v>39</v>
      </c>
    </row>
    <row r="254" spans="3:7" ht="18" x14ac:dyDescent="0.35">
      <c r="C254" s="23" t="s">
        <v>5</v>
      </c>
      <c r="D254" s="23" t="s">
        <v>36</v>
      </c>
      <c r="E254" s="23" t="s">
        <v>16</v>
      </c>
      <c r="F254" s="65">
        <v>16184</v>
      </c>
      <c r="G254" s="66">
        <v>39</v>
      </c>
    </row>
    <row r="255" spans="3:7" ht="18" x14ac:dyDescent="0.35">
      <c r="C255" s="23" t="s">
        <v>40</v>
      </c>
      <c r="D255" s="23" t="s">
        <v>36</v>
      </c>
      <c r="E255" s="23" t="s">
        <v>4</v>
      </c>
      <c r="F255" s="65">
        <v>217</v>
      </c>
      <c r="G255" s="66">
        <v>36</v>
      </c>
    </row>
    <row r="256" spans="3:7" ht="18" x14ac:dyDescent="0.35">
      <c r="C256" s="23" t="s">
        <v>2</v>
      </c>
      <c r="D256" s="23" t="s">
        <v>39</v>
      </c>
      <c r="E256" s="23" t="s">
        <v>23</v>
      </c>
      <c r="F256" s="65">
        <v>630</v>
      </c>
      <c r="G256" s="66">
        <v>36</v>
      </c>
    </row>
    <row r="257" spans="3:7" ht="18" x14ac:dyDescent="0.35">
      <c r="C257" s="23" t="s">
        <v>2</v>
      </c>
      <c r="D257" s="23" t="s">
        <v>39</v>
      </c>
      <c r="E257" s="23" t="s">
        <v>15</v>
      </c>
      <c r="F257" s="65">
        <v>4802</v>
      </c>
      <c r="G257" s="66">
        <v>36</v>
      </c>
    </row>
    <row r="258" spans="3:7" ht="18" x14ac:dyDescent="0.35">
      <c r="C258" s="23" t="s">
        <v>6</v>
      </c>
      <c r="D258" s="23" t="s">
        <v>38</v>
      </c>
      <c r="E258" s="23" t="s">
        <v>21</v>
      </c>
      <c r="F258" s="65">
        <v>7322</v>
      </c>
      <c r="G258" s="66">
        <v>36</v>
      </c>
    </row>
    <row r="259" spans="3:7" ht="18" x14ac:dyDescent="0.35">
      <c r="C259" s="23" t="s">
        <v>3</v>
      </c>
      <c r="D259" s="23" t="s">
        <v>36</v>
      </c>
      <c r="E259" s="23" t="s">
        <v>16</v>
      </c>
      <c r="F259" s="65">
        <v>9198</v>
      </c>
      <c r="G259" s="66">
        <v>36</v>
      </c>
    </row>
    <row r="260" spans="3:7" ht="18" x14ac:dyDescent="0.35">
      <c r="C260" s="23" t="s">
        <v>6</v>
      </c>
      <c r="D260" s="23" t="s">
        <v>36</v>
      </c>
      <c r="E260" s="23" t="s">
        <v>13</v>
      </c>
      <c r="F260" s="65">
        <v>4319</v>
      </c>
      <c r="G260" s="66">
        <v>30</v>
      </c>
    </row>
    <row r="261" spans="3:7" ht="18" x14ac:dyDescent="0.35">
      <c r="C261" s="23" t="s">
        <v>10</v>
      </c>
      <c r="D261" s="23" t="s">
        <v>37</v>
      </c>
      <c r="E261" s="23" t="s">
        <v>23</v>
      </c>
      <c r="F261" s="65">
        <v>4683</v>
      </c>
      <c r="G261" s="66">
        <v>30</v>
      </c>
    </row>
    <row r="262" spans="3:7" ht="18" x14ac:dyDescent="0.35">
      <c r="C262" s="23" t="s">
        <v>40</v>
      </c>
      <c r="D262" s="23" t="s">
        <v>36</v>
      </c>
      <c r="E262" s="23" t="s">
        <v>25</v>
      </c>
      <c r="F262" s="65">
        <v>5439</v>
      </c>
      <c r="G262" s="66">
        <v>30</v>
      </c>
    </row>
    <row r="263" spans="3:7" ht="18" x14ac:dyDescent="0.35">
      <c r="C263" s="23" t="s">
        <v>40</v>
      </c>
      <c r="D263" s="23" t="s">
        <v>39</v>
      </c>
      <c r="E263" s="23" t="s">
        <v>27</v>
      </c>
      <c r="F263" s="65">
        <v>6370</v>
      </c>
      <c r="G263" s="66">
        <v>30</v>
      </c>
    </row>
    <row r="264" spans="3:7" ht="18" x14ac:dyDescent="0.35">
      <c r="C264" s="23" t="s">
        <v>8</v>
      </c>
      <c r="D264" s="23" t="s">
        <v>37</v>
      </c>
      <c r="E264" s="23" t="s">
        <v>15</v>
      </c>
      <c r="F264" s="65">
        <v>9709</v>
      </c>
      <c r="G264" s="66">
        <v>30</v>
      </c>
    </row>
    <row r="265" spans="3:7" ht="18" x14ac:dyDescent="0.35">
      <c r="C265" s="23" t="s">
        <v>10</v>
      </c>
      <c r="D265" s="23" t="s">
        <v>39</v>
      </c>
      <c r="E265" s="23" t="s">
        <v>33</v>
      </c>
      <c r="F265" s="65">
        <v>12950</v>
      </c>
      <c r="G265" s="66">
        <v>30</v>
      </c>
    </row>
    <row r="266" spans="3:7" ht="18" x14ac:dyDescent="0.35">
      <c r="C266" s="23" t="s">
        <v>8</v>
      </c>
      <c r="D266" s="23" t="s">
        <v>39</v>
      </c>
      <c r="E266" s="23" t="s">
        <v>26</v>
      </c>
      <c r="F266" s="65">
        <v>1561</v>
      </c>
      <c r="G266" s="66">
        <v>27</v>
      </c>
    </row>
    <row r="267" spans="3:7" ht="18" x14ac:dyDescent="0.35">
      <c r="C267" s="23" t="s">
        <v>7</v>
      </c>
      <c r="D267" s="23" t="s">
        <v>35</v>
      </c>
      <c r="E267" s="23" t="s">
        <v>16</v>
      </c>
      <c r="F267" s="65">
        <v>2135</v>
      </c>
      <c r="G267" s="66">
        <v>27</v>
      </c>
    </row>
    <row r="268" spans="3:7" ht="18" x14ac:dyDescent="0.35">
      <c r="C268" s="23" t="s">
        <v>10</v>
      </c>
      <c r="D268" s="23" t="s">
        <v>37</v>
      </c>
      <c r="E268" s="23" t="s">
        <v>28</v>
      </c>
      <c r="F268" s="65">
        <v>3059</v>
      </c>
      <c r="G268" s="66">
        <v>27</v>
      </c>
    </row>
    <row r="269" spans="3:7" ht="18" x14ac:dyDescent="0.35">
      <c r="C269" s="23" t="s">
        <v>6</v>
      </c>
      <c r="D269" s="23" t="s">
        <v>39</v>
      </c>
      <c r="E269" s="23" t="s">
        <v>17</v>
      </c>
      <c r="F269" s="65">
        <v>6048</v>
      </c>
      <c r="G269" s="66">
        <v>27</v>
      </c>
    </row>
    <row r="270" spans="3:7" ht="18" x14ac:dyDescent="0.35">
      <c r="C270" s="23" t="s">
        <v>9</v>
      </c>
      <c r="D270" s="23" t="s">
        <v>34</v>
      </c>
      <c r="E270" s="23" t="s">
        <v>21</v>
      </c>
      <c r="F270" s="65">
        <v>6832</v>
      </c>
      <c r="G270" s="66">
        <v>27</v>
      </c>
    </row>
    <row r="271" spans="3:7" ht="18" x14ac:dyDescent="0.35">
      <c r="C271" s="23" t="s">
        <v>8</v>
      </c>
      <c r="D271" s="23" t="s">
        <v>39</v>
      </c>
      <c r="E271" s="23" t="s">
        <v>18</v>
      </c>
      <c r="F271" s="65">
        <v>9660</v>
      </c>
      <c r="G271" s="66">
        <v>27</v>
      </c>
    </row>
    <row r="272" spans="3:7" ht="18" x14ac:dyDescent="0.35">
      <c r="C272" s="23" t="s">
        <v>7</v>
      </c>
      <c r="D272" s="23" t="s">
        <v>34</v>
      </c>
      <c r="E272" s="23" t="s">
        <v>15</v>
      </c>
      <c r="F272" s="65">
        <v>3829</v>
      </c>
      <c r="G272" s="66">
        <v>24</v>
      </c>
    </row>
    <row r="273" spans="3:7" ht="18" x14ac:dyDescent="0.35">
      <c r="C273" s="23" t="s">
        <v>10</v>
      </c>
      <c r="D273" s="23" t="s">
        <v>34</v>
      </c>
      <c r="E273" s="23" t="s">
        <v>22</v>
      </c>
      <c r="F273" s="65">
        <v>4053</v>
      </c>
      <c r="G273" s="66">
        <v>24</v>
      </c>
    </row>
    <row r="274" spans="3:7" ht="18" x14ac:dyDescent="0.35">
      <c r="C274" s="23" t="s">
        <v>41</v>
      </c>
      <c r="D274" s="23" t="s">
        <v>38</v>
      </c>
      <c r="E274" s="23" t="s">
        <v>25</v>
      </c>
      <c r="F274" s="65">
        <v>154</v>
      </c>
      <c r="G274" s="66">
        <v>21</v>
      </c>
    </row>
    <row r="275" spans="3:7" ht="18" x14ac:dyDescent="0.35">
      <c r="C275" s="23" t="s">
        <v>7</v>
      </c>
      <c r="D275" s="23" t="s">
        <v>35</v>
      </c>
      <c r="E275" s="23" t="s">
        <v>27</v>
      </c>
      <c r="F275" s="65">
        <v>2478</v>
      </c>
      <c r="G275" s="66">
        <v>21</v>
      </c>
    </row>
    <row r="276" spans="3:7" ht="18" x14ac:dyDescent="0.35">
      <c r="C276" s="23" t="s">
        <v>5</v>
      </c>
      <c r="D276" s="23" t="s">
        <v>38</v>
      </c>
      <c r="E276" s="23" t="s">
        <v>32</v>
      </c>
      <c r="F276" s="65">
        <v>5075</v>
      </c>
      <c r="G276" s="66">
        <v>21</v>
      </c>
    </row>
    <row r="277" spans="3:7" ht="18" x14ac:dyDescent="0.35">
      <c r="C277" s="23" t="s">
        <v>5</v>
      </c>
      <c r="D277" s="23" t="s">
        <v>34</v>
      </c>
      <c r="E277" s="23" t="s">
        <v>27</v>
      </c>
      <c r="F277" s="65">
        <v>6986</v>
      </c>
      <c r="G277" s="66">
        <v>21</v>
      </c>
    </row>
    <row r="278" spans="3:7" ht="18" x14ac:dyDescent="0.35">
      <c r="C278" s="23" t="s">
        <v>40</v>
      </c>
      <c r="D278" s="23" t="s">
        <v>37</v>
      </c>
      <c r="E278" s="23" t="s">
        <v>19</v>
      </c>
      <c r="F278" s="65">
        <v>7693</v>
      </c>
      <c r="G278" s="66">
        <v>21</v>
      </c>
    </row>
    <row r="279" spans="3:7" ht="18" x14ac:dyDescent="0.35">
      <c r="C279" s="23" t="s">
        <v>5</v>
      </c>
      <c r="D279" s="23" t="s">
        <v>37</v>
      </c>
      <c r="E279" s="23" t="s">
        <v>25</v>
      </c>
      <c r="F279" s="65">
        <v>8813</v>
      </c>
      <c r="G279" s="66">
        <v>21</v>
      </c>
    </row>
    <row r="280" spans="3:7" ht="18" x14ac:dyDescent="0.35">
      <c r="C280" s="23" t="s">
        <v>2</v>
      </c>
      <c r="D280" s="23" t="s">
        <v>36</v>
      </c>
      <c r="E280" s="23" t="s">
        <v>16</v>
      </c>
      <c r="F280" s="65">
        <v>11417</v>
      </c>
      <c r="G280" s="66">
        <v>21</v>
      </c>
    </row>
    <row r="281" spans="3:7" ht="18" x14ac:dyDescent="0.35">
      <c r="C281" s="23" t="s">
        <v>2</v>
      </c>
      <c r="D281" s="23" t="s">
        <v>37</v>
      </c>
      <c r="E281" s="23" t="s">
        <v>19</v>
      </c>
      <c r="F281" s="65">
        <v>238</v>
      </c>
      <c r="G281" s="66">
        <v>18</v>
      </c>
    </row>
    <row r="282" spans="3:7" ht="18" x14ac:dyDescent="0.35">
      <c r="C282" s="23" t="s">
        <v>3</v>
      </c>
      <c r="D282" s="23" t="s">
        <v>36</v>
      </c>
      <c r="E282" s="23" t="s">
        <v>19</v>
      </c>
      <c r="F282" s="65">
        <v>1281</v>
      </c>
      <c r="G282" s="66">
        <v>18</v>
      </c>
    </row>
    <row r="283" spans="3:7" ht="18" x14ac:dyDescent="0.35">
      <c r="C283" s="23" t="s">
        <v>3</v>
      </c>
      <c r="D283" s="23" t="s">
        <v>34</v>
      </c>
      <c r="E283" s="23" t="s">
        <v>20</v>
      </c>
      <c r="F283" s="65">
        <v>2583</v>
      </c>
      <c r="G283" s="66">
        <v>18</v>
      </c>
    </row>
    <row r="284" spans="3:7" ht="18" x14ac:dyDescent="0.35">
      <c r="C284" s="23" t="s">
        <v>2</v>
      </c>
      <c r="D284" s="23" t="s">
        <v>35</v>
      </c>
      <c r="E284" s="23" t="s">
        <v>19</v>
      </c>
      <c r="F284" s="65">
        <v>553</v>
      </c>
      <c r="G284" s="66">
        <v>15</v>
      </c>
    </row>
    <row r="285" spans="3:7" ht="18" x14ac:dyDescent="0.35">
      <c r="C285" s="23" t="s">
        <v>6</v>
      </c>
      <c r="D285" s="23" t="s">
        <v>34</v>
      </c>
      <c r="E285" s="23" t="s">
        <v>15</v>
      </c>
      <c r="F285" s="65">
        <v>1442</v>
      </c>
      <c r="G285" s="66">
        <v>15</v>
      </c>
    </row>
    <row r="286" spans="3:7" ht="18" x14ac:dyDescent="0.35">
      <c r="C286" s="23" t="s">
        <v>5</v>
      </c>
      <c r="D286" s="23" t="s">
        <v>35</v>
      </c>
      <c r="E286" s="23" t="s">
        <v>18</v>
      </c>
      <c r="F286" s="65">
        <v>2415</v>
      </c>
      <c r="G286" s="66">
        <v>15</v>
      </c>
    </row>
    <row r="287" spans="3:7" ht="18" x14ac:dyDescent="0.35">
      <c r="C287" s="23" t="s">
        <v>5</v>
      </c>
      <c r="D287" s="23" t="s">
        <v>36</v>
      </c>
      <c r="E287" s="23" t="s">
        <v>23</v>
      </c>
      <c r="F287" s="65">
        <v>6314</v>
      </c>
      <c r="G287" s="66">
        <v>15</v>
      </c>
    </row>
    <row r="288" spans="3:7" ht="18" x14ac:dyDescent="0.35">
      <c r="C288" s="23" t="s">
        <v>5</v>
      </c>
      <c r="D288" s="23" t="s">
        <v>37</v>
      </c>
      <c r="E288" s="23" t="s">
        <v>14</v>
      </c>
      <c r="F288" s="65">
        <v>4991</v>
      </c>
      <c r="G288" s="66">
        <v>12</v>
      </c>
    </row>
    <row r="289" spans="3:7" ht="18" x14ac:dyDescent="0.35">
      <c r="C289" s="23" t="s">
        <v>40</v>
      </c>
      <c r="D289" s="23" t="s">
        <v>39</v>
      </c>
      <c r="E289" s="23" t="s">
        <v>22</v>
      </c>
      <c r="F289" s="65">
        <v>5817</v>
      </c>
      <c r="G289" s="66">
        <v>12</v>
      </c>
    </row>
    <row r="290" spans="3:7" ht="18" x14ac:dyDescent="0.35">
      <c r="C290" s="23" t="s">
        <v>9</v>
      </c>
      <c r="D290" s="23" t="s">
        <v>38</v>
      </c>
      <c r="E290" s="23" t="s">
        <v>17</v>
      </c>
      <c r="F290" s="65">
        <v>2408</v>
      </c>
      <c r="G290" s="66">
        <v>9</v>
      </c>
    </row>
    <row r="291" spans="3:7" ht="18" x14ac:dyDescent="0.35">
      <c r="C291" s="23" t="s">
        <v>5</v>
      </c>
      <c r="D291" s="23" t="s">
        <v>35</v>
      </c>
      <c r="E291" s="23" t="s">
        <v>4</v>
      </c>
      <c r="F291" s="65">
        <v>2744</v>
      </c>
      <c r="G291" s="66">
        <v>9</v>
      </c>
    </row>
    <row r="292" spans="3:7" ht="18" x14ac:dyDescent="0.35">
      <c r="C292" s="23" t="s">
        <v>41</v>
      </c>
      <c r="D292" s="23" t="s">
        <v>37</v>
      </c>
      <c r="E292" s="23" t="s">
        <v>21</v>
      </c>
      <c r="F292" s="65">
        <v>2933</v>
      </c>
      <c r="G292" s="66">
        <v>9</v>
      </c>
    </row>
    <row r="293" spans="3:7" ht="18" x14ac:dyDescent="0.35">
      <c r="C293" s="23" t="s">
        <v>10</v>
      </c>
      <c r="D293" s="23" t="s">
        <v>34</v>
      </c>
      <c r="E293" s="23" t="s">
        <v>26</v>
      </c>
      <c r="F293" s="65">
        <v>4991</v>
      </c>
      <c r="G293" s="66">
        <v>9</v>
      </c>
    </row>
    <row r="294" spans="3:7" ht="18" x14ac:dyDescent="0.35">
      <c r="C294" s="23" t="s">
        <v>6</v>
      </c>
      <c r="D294" s="23" t="s">
        <v>36</v>
      </c>
      <c r="E294" s="23" t="s">
        <v>32</v>
      </c>
      <c r="F294" s="65">
        <v>6118</v>
      </c>
      <c r="G294" s="66">
        <v>9</v>
      </c>
    </row>
    <row r="295" spans="3:7" ht="18" x14ac:dyDescent="0.35">
      <c r="C295" s="23" t="s">
        <v>6</v>
      </c>
      <c r="D295" s="23" t="s">
        <v>38</v>
      </c>
      <c r="E295" s="23" t="s">
        <v>16</v>
      </c>
      <c r="F295" s="65">
        <v>938</v>
      </c>
      <c r="G295" s="66">
        <v>6</v>
      </c>
    </row>
    <row r="296" spans="3:7" ht="18" x14ac:dyDescent="0.35">
      <c r="C296" s="23" t="s">
        <v>10</v>
      </c>
      <c r="D296" s="23" t="s">
        <v>35</v>
      </c>
      <c r="E296" s="23" t="s">
        <v>15</v>
      </c>
      <c r="F296" s="65">
        <v>2562</v>
      </c>
      <c r="G296" s="66">
        <v>6</v>
      </c>
    </row>
    <row r="297" spans="3:7" ht="18" x14ac:dyDescent="0.35">
      <c r="C297" s="23" t="s">
        <v>6</v>
      </c>
      <c r="D297" s="23" t="s">
        <v>37</v>
      </c>
      <c r="E297" s="23" t="s">
        <v>26</v>
      </c>
      <c r="F297" s="65">
        <v>6818</v>
      </c>
      <c r="G297" s="66">
        <v>6</v>
      </c>
    </row>
    <row r="298" spans="3:7" ht="18" x14ac:dyDescent="0.35">
      <c r="C298" s="23" t="s">
        <v>6</v>
      </c>
      <c r="D298" s="23" t="s">
        <v>39</v>
      </c>
      <c r="E298" s="23" t="s">
        <v>24</v>
      </c>
      <c r="F298" s="65">
        <v>2989</v>
      </c>
      <c r="G298" s="66">
        <v>3</v>
      </c>
    </row>
    <row r="299" spans="3:7" ht="18" x14ac:dyDescent="0.35">
      <c r="C299" s="23" t="s">
        <v>2</v>
      </c>
      <c r="D299" s="23" t="s">
        <v>38</v>
      </c>
      <c r="E299" s="23" t="s">
        <v>4</v>
      </c>
      <c r="F299" s="65">
        <v>3549</v>
      </c>
      <c r="G299" s="66">
        <v>3</v>
      </c>
    </row>
    <row r="300" spans="3:7" ht="18" x14ac:dyDescent="0.35">
      <c r="C300" s="23" t="s">
        <v>41</v>
      </c>
      <c r="D300" s="23" t="s">
        <v>38</v>
      </c>
      <c r="E300" s="23" t="s">
        <v>22</v>
      </c>
      <c r="F300" s="65">
        <v>5915</v>
      </c>
      <c r="G300" s="66">
        <v>3</v>
      </c>
    </row>
    <row r="301" spans="3:7" ht="18" x14ac:dyDescent="0.35">
      <c r="C301" s="23" t="s">
        <v>5</v>
      </c>
      <c r="D301" s="23" t="s">
        <v>36</v>
      </c>
      <c r="E301" s="23" t="s">
        <v>18</v>
      </c>
      <c r="F301" s="65">
        <v>6111</v>
      </c>
      <c r="G301" s="66">
        <v>3</v>
      </c>
    </row>
    <row r="302" spans="3:7" ht="18" x14ac:dyDescent="0.35">
      <c r="C302" s="23" t="s">
        <v>7</v>
      </c>
      <c r="D302" s="23" t="s">
        <v>37</v>
      </c>
      <c r="E302" s="23" t="s">
        <v>26</v>
      </c>
      <c r="F302" s="65">
        <v>5306</v>
      </c>
      <c r="G302" s="66">
        <v>0</v>
      </c>
    </row>
  </sheetData>
  <conditionalFormatting sqref="F3:F302">
    <cfRule type="colorScale" priority="3">
      <colorScale>
        <cfvo type="min"/>
        <cfvo type="percentile" val="50"/>
        <cfvo type="max"/>
        <color rgb="FFF8696B"/>
        <color rgb="FFFFEB84"/>
        <color rgb="FF63BE7B"/>
      </colorScale>
    </cfRule>
  </conditionalFormatting>
  <conditionalFormatting sqref="G3:G302">
    <cfRule type="cellIs" dxfId="89" priority="1" operator="greaterThan">
      <formula>300</formula>
    </cfRule>
    <cfRule type="top10" dxfId="88" priority="2" rank="10"/>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6920-9342-4F04-A3F9-AA20C2948522}">
  <dimension ref="A1:E10"/>
  <sheetViews>
    <sheetView showGridLines="0" workbookViewId="0">
      <selection activeCell="I6" sqref="I6"/>
    </sheetView>
  </sheetViews>
  <sheetFormatPr defaultRowHeight="14.4" x14ac:dyDescent="0.3"/>
  <cols>
    <col min="2" max="2" width="12.5546875" customWidth="1"/>
    <col min="3" max="3" width="19.109375" customWidth="1"/>
    <col min="4" max="4" width="10" customWidth="1"/>
  </cols>
  <sheetData>
    <row r="1" spans="1:5" ht="31.2" x14ac:dyDescent="0.6">
      <c r="A1" s="64" t="s">
        <v>44</v>
      </c>
      <c r="B1" s="1"/>
      <c r="C1" s="1"/>
      <c r="D1" s="1"/>
      <c r="E1" s="1"/>
    </row>
    <row r="4" spans="1:5" ht="18" x14ac:dyDescent="0.35">
      <c r="B4" s="60" t="s">
        <v>66</v>
      </c>
      <c r="C4" s="61" t="s">
        <v>1</v>
      </c>
      <c r="D4" s="61"/>
      <c r="E4" s="61" t="s">
        <v>58</v>
      </c>
    </row>
    <row r="5" spans="1:5" ht="18" x14ac:dyDescent="0.35">
      <c r="B5" s="62" t="str" cm="1">
        <f t="array" ref="B5:B10">_xlfn.LET(_xlpm.c,_xlfn.UNIQUE(Data[Geography]),_xlfn.SORTBY(_xlpm.c,SUMIFS(Data[Amount],Data[Geography],_xlpm.c),-1))</f>
        <v>India</v>
      </c>
      <c r="C5" s="63">
        <f>SUMIFS(Data[Amount],Data[Geography],B5)</f>
        <v>252469</v>
      </c>
      <c r="D5" s="63">
        <f>C5</f>
        <v>252469</v>
      </c>
      <c r="E5" s="62">
        <f>SUMIFS(Data[Units],Data[Geography],B5)</f>
        <v>8760</v>
      </c>
    </row>
    <row r="6" spans="1:5" ht="18" x14ac:dyDescent="0.35">
      <c r="B6" s="62" t="str">
        <v>Canada</v>
      </c>
      <c r="C6" s="63">
        <f>SUMIFS(Data[Amount],Data[Geography],B6)</f>
        <v>237944</v>
      </c>
      <c r="D6" s="63">
        <f t="shared" ref="D6:D10" si="0">C6</f>
        <v>237944</v>
      </c>
      <c r="E6" s="62">
        <f>SUMIFS(Data[Units],Data[Geography],B6)</f>
        <v>7302</v>
      </c>
    </row>
    <row r="7" spans="1:5" ht="18" x14ac:dyDescent="0.35">
      <c r="B7" s="62" t="str">
        <v>New Zealand</v>
      </c>
      <c r="C7" s="63">
        <f>SUMIFS(Data[Amount],Data[Geography],B7)</f>
        <v>218813</v>
      </c>
      <c r="D7" s="63">
        <f t="shared" si="0"/>
        <v>218813</v>
      </c>
      <c r="E7" s="62">
        <f>SUMIFS(Data[Units],Data[Geography],B7)</f>
        <v>7431</v>
      </c>
    </row>
    <row r="8" spans="1:5" ht="18" x14ac:dyDescent="0.35">
      <c r="B8" s="62" t="str">
        <v>USA</v>
      </c>
      <c r="C8" s="63">
        <f>SUMIFS(Data[Amount],Data[Geography],B8)</f>
        <v>189434</v>
      </c>
      <c r="D8" s="63">
        <f t="shared" si="0"/>
        <v>189434</v>
      </c>
      <c r="E8" s="62">
        <f>SUMIFS(Data[Units],Data[Geography],B8)</f>
        <v>10158</v>
      </c>
    </row>
    <row r="9" spans="1:5" ht="18" x14ac:dyDescent="0.35">
      <c r="B9" s="62" t="str">
        <v>UK</v>
      </c>
      <c r="C9" s="63">
        <f>SUMIFS(Data[Amount],Data[Geography],B9)</f>
        <v>173530</v>
      </c>
      <c r="D9" s="63">
        <f t="shared" si="0"/>
        <v>173530</v>
      </c>
      <c r="E9" s="62">
        <f>SUMIFS(Data[Units],Data[Geography],B9)</f>
        <v>5745</v>
      </c>
    </row>
    <row r="10" spans="1:5" ht="18" x14ac:dyDescent="0.35">
      <c r="B10" s="62" t="str">
        <v>Australia</v>
      </c>
      <c r="C10" s="63">
        <f>SUMIFS(Data[Amount],Data[Geography],B10)</f>
        <v>168679</v>
      </c>
      <c r="D10" s="63">
        <f t="shared" si="0"/>
        <v>168679</v>
      </c>
      <c r="E10" s="62">
        <f>SUMIFS(Data[Units],Data[Geography],B10)</f>
        <v>6264</v>
      </c>
    </row>
  </sheetData>
  <conditionalFormatting sqref="D5:D10">
    <cfRule type="dataBar" priority="2">
      <dataBar showValue="0">
        <cfvo type="min"/>
        <cfvo type="max"/>
        <color rgb="FF638EC6"/>
      </dataBar>
      <extLst>
        <ext xmlns:x14="http://schemas.microsoft.com/office/spreadsheetml/2009/9/main" uri="{B025F937-C7B1-47D3-B67F-A62EFF666E3E}">
          <x14:id>{A7BB5702-886F-41B2-8F92-BE41218F3D20}</x14:id>
        </ext>
      </extLst>
    </cfRule>
  </conditionalFormatting>
  <conditionalFormatting sqref="M1">
    <cfRule type="colorScale" priority="1">
      <colorScale>
        <cfvo type="min"/>
        <cfvo type="max"/>
        <color rgb="FFFF7128"/>
        <color rgb="FFFFEF9C"/>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7BB5702-886F-41B2-8F92-BE41218F3D20}">
            <x14:dataBar minLength="0" maxLength="100" border="1" negativeBarBorderColorSameAsPositive="0">
              <x14:cfvo type="autoMin"/>
              <x14:cfvo type="autoMax"/>
              <x14:borderColor rgb="FF638EC6"/>
              <x14:negativeFillColor rgb="FFFF0000"/>
              <x14:negativeBorderColor rgb="FFFF0000"/>
              <x14:axisColor rgb="FF000000"/>
            </x14:dataBar>
          </x14:cfRule>
          <xm:sqref>D5:D10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5EBE4-A861-41E5-A2A4-C8F10D91D479}">
  <dimension ref="A1:E10"/>
  <sheetViews>
    <sheetView showGridLines="0" workbookViewId="0">
      <selection activeCell="F2" sqref="F2"/>
    </sheetView>
  </sheetViews>
  <sheetFormatPr defaultRowHeight="14.4" x14ac:dyDescent="0.3"/>
  <cols>
    <col min="2" max="2" width="11.5546875" bestFit="1" customWidth="1"/>
    <col min="3" max="3" width="14.44140625" bestFit="1" customWidth="1"/>
    <col min="4" max="4" width="11.109375" customWidth="1"/>
    <col min="5" max="5" width="20.33203125" customWidth="1"/>
  </cols>
  <sheetData>
    <row r="1" spans="1:5" ht="25.8" x14ac:dyDescent="0.5">
      <c r="A1" s="15" t="s">
        <v>67</v>
      </c>
    </row>
    <row r="3" spans="1:5" ht="15.6" x14ac:dyDescent="0.3">
      <c r="B3" s="13"/>
      <c r="C3" s="13"/>
    </row>
    <row r="4" spans="1:5" ht="21" x14ac:dyDescent="0.4">
      <c r="B4" s="51" t="s">
        <v>68</v>
      </c>
      <c r="C4" s="24" t="s">
        <v>71</v>
      </c>
      <c r="D4" s="24" t="s">
        <v>73</v>
      </c>
      <c r="E4" s="24" t="s">
        <v>72</v>
      </c>
    </row>
    <row r="5" spans="1:5" ht="21" x14ac:dyDescent="0.4">
      <c r="B5" s="57" t="s">
        <v>38</v>
      </c>
      <c r="C5" s="58">
        <v>15820</v>
      </c>
      <c r="D5" s="59">
        <v>15820</v>
      </c>
      <c r="E5" s="59">
        <v>711</v>
      </c>
    </row>
    <row r="6" spans="1:5" ht="21" x14ac:dyDescent="0.4">
      <c r="B6" s="57" t="s">
        <v>36</v>
      </c>
      <c r="C6" s="58">
        <v>27377</v>
      </c>
      <c r="D6" s="59">
        <v>27377</v>
      </c>
      <c r="E6" s="59">
        <v>513</v>
      </c>
    </row>
    <row r="7" spans="1:5" ht="21" x14ac:dyDescent="0.4">
      <c r="B7" s="57" t="s">
        <v>34</v>
      </c>
      <c r="C7" s="58">
        <v>33670</v>
      </c>
      <c r="D7" s="59">
        <v>33670</v>
      </c>
      <c r="E7" s="59">
        <v>1515</v>
      </c>
    </row>
    <row r="8" spans="1:5" ht="21" x14ac:dyDescent="0.4">
      <c r="B8" s="57" t="s">
        <v>37</v>
      </c>
      <c r="C8" s="58">
        <v>26985</v>
      </c>
      <c r="D8" s="59">
        <v>26985</v>
      </c>
      <c r="E8" s="59">
        <v>1329</v>
      </c>
    </row>
    <row r="9" spans="1:5" ht="21" x14ac:dyDescent="0.4">
      <c r="B9" s="57" t="s">
        <v>39</v>
      </c>
      <c r="C9" s="58">
        <v>15827</v>
      </c>
      <c r="D9" s="59">
        <v>15827</v>
      </c>
      <c r="E9" s="59">
        <v>885</v>
      </c>
    </row>
    <row r="10" spans="1:5" ht="21" x14ac:dyDescent="0.4">
      <c r="B10" s="57" t="s">
        <v>35</v>
      </c>
      <c r="C10" s="58">
        <v>11018</v>
      </c>
      <c r="D10" s="59">
        <v>11018</v>
      </c>
      <c r="E10" s="59">
        <v>972</v>
      </c>
    </row>
  </sheetData>
  <conditionalFormatting pivot="1" sqref="D5:D10">
    <cfRule type="dataBar" priority="1">
      <dataBar showValue="0">
        <cfvo type="min"/>
        <cfvo type="max"/>
        <color theme="4" tint="0.39997558519241921"/>
      </dataBar>
      <extLst>
        <ext xmlns:x14="http://schemas.microsoft.com/office/spreadsheetml/2009/9/main" uri="{B025F937-C7B1-47D3-B67F-A62EFF666E3E}">
          <x14:id>{D0A58E37-A550-4B78-8934-AA0DA707FAEC}</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D0A58E37-A550-4B78-8934-AA0DA707FAEC}">
            <x14:dataBar minLength="0" maxLength="100" gradient="0">
              <x14:cfvo type="autoMin"/>
              <x14:cfvo type="autoMax"/>
              <x14:negativeFillColor rgb="FFFF0000"/>
              <x14:axisColor rgb="FF000000"/>
            </x14:dataBar>
          </x14:cfRule>
          <xm:sqref>D5:D10</xm:sqref>
        </x14:conditionalFormatting>
      </x14:conditionalFormattings>
    </ex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79425-738B-45F6-906D-37CDDE22D62F}">
  <dimension ref="A1:D9"/>
  <sheetViews>
    <sheetView showGridLines="0" workbookViewId="0">
      <selection activeCell="A7" sqref="A7"/>
    </sheetView>
  </sheetViews>
  <sheetFormatPr defaultRowHeight="14.4" x14ac:dyDescent="0.3"/>
  <cols>
    <col min="1" max="1" width="17.77734375" bestFit="1" customWidth="1"/>
    <col min="2" max="2" width="12.44140625" bestFit="1" customWidth="1"/>
    <col min="3" max="3" width="24.88671875" customWidth="1"/>
    <col min="4" max="4" width="36" bestFit="1" customWidth="1"/>
    <col min="5" max="5" width="26.5546875" customWidth="1"/>
  </cols>
  <sheetData>
    <row r="1" spans="1:4" ht="25.8" x14ac:dyDescent="0.5">
      <c r="A1" s="56" t="s">
        <v>53</v>
      </c>
      <c r="B1" s="56"/>
      <c r="C1" s="56"/>
      <c r="D1" s="56"/>
    </row>
    <row r="3" spans="1:4" ht="28.8" x14ac:dyDescent="0.55000000000000004">
      <c r="C3" s="42" t="s">
        <v>69</v>
      </c>
      <c r="D3" s="41" t="s">
        <v>74</v>
      </c>
    </row>
    <row r="4" spans="1:4" ht="28.8" x14ac:dyDescent="0.55000000000000004">
      <c r="C4" s="54" t="s">
        <v>15</v>
      </c>
      <c r="D4" s="55">
        <v>44.990867579908674</v>
      </c>
    </row>
    <row r="5" spans="1:4" ht="28.8" x14ac:dyDescent="0.55000000000000004">
      <c r="C5" s="54" t="s">
        <v>33</v>
      </c>
      <c r="D5" s="55">
        <v>37.303128371089535</v>
      </c>
    </row>
    <row r="6" spans="1:4" ht="28.8" x14ac:dyDescent="0.55000000000000004">
      <c r="C6" s="54" t="s">
        <v>26</v>
      </c>
      <c r="D6" s="55">
        <v>32.807189542483663</v>
      </c>
    </row>
    <row r="7" spans="1:4" ht="28.8" x14ac:dyDescent="0.55000000000000004">
      <c r="C7" s="54" t="s">
        <v>22</v>
      </c>
      <c r="D7" s="55">
        <v>32.301656920077974</v>
      </c>
    </row>
    <row r="8" spans="1:4" ht="28.8" x14ac:dyDescent="0.55000000000000004">
      <c r="C8" s="54" t="s">
        <v>24</v>
      </c>
      <c r="D8" s="55">
        <v>33.88697318007663</v>
      </c>
    </row>
    <row r="9" spans="1:4" ht="28.8" x14ac:dyDescent="0.55000000000000004">
      <c r="C9" s="43" t="s">
        <v>70</v>
      </c>
      <c r="D9" s="53">
        <v>35.949565217391303</v>
      </c>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107B0-ABAB-4B3E-AB56-9E1F9C327FA8}">
  <dimension ref="A1:P304"/>
  <sheetViews>
    <sheetView showGridLines="0" workbookViewId="0">
      <selection activeCell="J2" sqref="J2"/>
    </sheetView>
  </sheetViews>
  <sheetFormatPr defaultRowHeight="14.4" x14ac:dyDescent="0.3"/>
  <cols>
    <col min="12" max="12" width="15.109375" bestFit="1" customWidth="1"/>
    <col min="13" max="13" width="11.5546875" bestFit="1" customWidth="1"/>
    <col min="14" max="14" width="20.21875" bestFit="1" customWidth="1"/>
    <col min="15" max="15" width="10.44140625" bestFit="1" customWidth="1"/>
  </cols>
  <sheetData>
    <row r="1" spans="1:16" ht="31.2" x14ac:dyDescent="0.6">
      <c r="A1" s="10" t="s">
        <v>54</v>
      </c>
    </row>
    <row r="4" spans="1:16" ht="15.6" x14ac:dyDescent="0.3">
      <c r="L4" s="13" t="s">
        <v>11</v>
      </c>
      <c r="M4" s="13" t="s">
        <v>12</v>
      </c>
      <c r="N4" s="13" t="s">
        <v>0</v>
      </c>
      <c r="O4" s="49" t="s">
        <v>1</v>
      </c>
      <c r="P4" s="49" t="s">
        <v>49</v>
      </c>
    </row>
    <row r="5" spans="1:16" ht="15.6" x14ac:dyDescent="0.3">
      <c r="L5" s="22" t="s">
        <v>40</v>
      </c>
      <c r="M5" s="22" t="s">
        <v>37</v>
      </c>
      <c r="N5" s="22" t="s">
        <v>30</v>
      </c>
      <c r="O5" s="38">
        <v>1624</v>
      </c>
      <c r="P5" s="50">
        <v>114</v>
      </c>
    </row>
    <row r="6" spans="1:16" ht="15.6" x14ac:dyDescent="0.3">
      <c r="L6" s="22" t="s">
        <v>8</v>
      </c>
      <c r="M6" s="22" t="s">
        <v>35</v>
      </c>
      <c r="N6" s="22" t="s">
        <v>32</v>
      </c>
      <c r="O6" s="38">
        <v>6706</v>
      </c>
      <c r="P6" s="50">
        <v>459</v>
      </c>
    </row>
    <row r="7" spans="1:16" ht="15.6" x14ac:dyDescent="0.3">
      <c r="L7" s="22" t="s">
        <v>9</v>
      </c>
      <c r="M7" s="22" t="s">
        <v>35</v>
      </c>
      <c r="N7" s="22" t="s">
        <v>4</v>
      </c>
      <c r="O7" s="38">
        <v>959</v>
      </c>
      <c r="P7" s="50">
        <v>147</v>
      </c>
    </row>
    <row r="8" spans="1:16" ht="15.6" x14ac:dyDescent="0.3">
      <c r="L8" s="22" t="s">
        <v>41</v>
      </c>
      <c r="M8" s="22" t="s">
        <v>36</v>
      </c>
      <c r="N8" s="22" t="s">
        <v>18</v>
      </c>
      <c r="O8" s="38">
        <v>9632</v>
      </c>
      <c r="P8" s="50">
        <v>288</v>
      </c>
    </row>
    <row r="9" spans="1:16" ht="15.6" x14ac:dyDescent="0.3">
      <c r="L9" s="22" t="s">
        <v>6</v>
      </c>
      <c r="M9" s="22" t="s">
        <v>39</v>
      </c>
      <c r="N9" s="22" t="s">
        <v>25</v>
      </c>
      <c r="O9" s="38">
        <v>2100</v>
      </c>
      <c r="P9" s="50">
        <v>414</v>
      </c>
    </row>
    <row r="10" spans="1:16" ht="15.6" x14ac:dyDescent="0.3">
      <c r="L10" s="22" t="s">
        <v>40</v>
      </c>
      <c r="M10" s="22" t="s">
        <v>35</v>
      </c>
      <c r="N10" s="22" t="s">
        <v>33</v>
      </c>
      <c r="O10" s="38">
        <v>8869</v>
      </c>
      <c r="P10" s="50">
        <v>432</v>
      </c>
    </row>
    <row r="11" spans="1:16" ht="15.6" x14ac:dyDescent="0.3">
      <c r="L11" s="22" t="s">
        <v>6</v>
      </c>
      <c r="M11" s="22" t="s">
        <v>38</v>
      </c>
      <c r="N11" s="22" t="s">
        <v>31</v>
      </c>
      <c r="O11" s="38">
        <v>2681</v>
      </c>
      <c r="P11" s="50">
        <v>54</v>
      </c>
    </row>
    <row r="12" spans="1:16" ht="15.6" x14ac:dyDescent="0.3">
      <c r="L12" s="22" t="s">
        <v>8</v>
      </c>
      <c r="M12" s="22" t="s">
        <v>35</v>
      </c>
      <c r="N12" s="22" t="s">
        <v>22</v>
      </c>
      <c r="O12" s="38">
        <v>5012</v>
      </c>
      <c r="P12" s="50">
        <v>210</v>
      </c>
    </row>
    <row r="13" spans="1:16" ht="15.6" x14ac:dyDescent="0.3">
      <c r="L13" s="22" t="s">
        <v>7</v>
      </c>
      <c r="M13" s="22" t="s">
        <v>38</v>
      </c>
      <c r="N13" s="22" t="s">
        <v>14</v>
      </c>
      <c r="O13" s="38">
        <v>1281</v>
      </c>
      <c r="P13" s="50">
        <v>75</v>
      </c>
    </row>
    <row r="14" spans="1:16" ht="15.6" x14ac:dyDescent="0.3">
      <c r="L14" s="22" t="s">
        <v>5</v>
      </c>
      <c r="M14" s="22" t="s">
        <v>37</v>
      </c>
      <c r="N14" s="22" t="s">
        <v>14</v>
      </c>
      <c r="O14" s="38">
        <v>4991</v>
      </c>
      <c r="P14" s="50">
        <v>12</v>
      </c>
    </row>
    <row r="15" spans="1:16" ht="15.6" x14ac:dyDescent="0.3">
      <c r="L15" s="22" t="s">
        <v>2</v>
      </c>
      <c r="M15" s="22" t="s">
        <v>39</v>
      </c>
      <c r="N15" s="22" t="s">
        <v>25</v>
      </c>
      <c r="O15" s="38">
        <v>1785</v>
      </c>
      <c r="P15" s="50">
        <v>462</v>
      </c>
    </row>
    <row r="16" spans="1:16" ht="15.6" x14ac:dyDescent="0.3">
      <c r="L16" s="22" t="s">
        <v>3</v>
      </c>
      <c r="M16" s="22" t="s">
        <v>37</v>
      </c>
      <c r="N16" s="22" t="s">
        <v>17</v>
      </c>
      <c r="O16" s="38">
        <v>3983</v>
      </c>
      <c r="P16" s="50">
        <v>144</v>
      </c>
    </row>
    <row r="17" spans="12:16" ht="15.6" x14ac:dyDescent="0.3">
      <c r="L17" s="22" t="s">
        <v>9</v>
      </c>
      <c r="M17" s="22" t="s">
        <v>38</v>
      </c>
      <c r="N17" s="22" t="s">
        <v>16</v>
      </c>
      <c r="O17" s="38">
        <v>2646</v>
      </c>
      <c r="P17" s="50">
        <v>120</v>
      </c>
    </row>
    <row r="18" spans="12:16" ht="15.6" x14ac:dyDescent="0.3">
      <c r="L18" s="22" t="s">
        <v>2</v>
      </c>
      <c r="M18" s="22" t="s">
        <v>34</v>
      </c>
      <c r="N18" s="22" t="s">
        <v>13</v>
      </c>
      <c r="O18" s="38">
        <v>252</v>
      </c>
      <c r="P18" s="50">
        <v>54</v>
      </c>
    </row>
    <row r="19" spans="12:16" ht="15.6" x14ac:dyDescent="0.3">
      <c r="L19" s="22" t="s">
        <v>3</v>
      </c>
      <c r="M19" s="22" t="s">
        <v>35</v>
      </c>
      <c r="N19" s="22" t="s">
        <v>25</v>
      </c>
      <c r="O19" s="38">
        <v>2464</v>
      </c>
      <c r="P19" s="50">
        <v>234</v>
      </c>
    </row>
    <row r="20" spans="12:16" ht="15.6" x14ac:dyDescent="0.3">
      <c r="L20" s="22" t="s">
        <v>3</v>
      </c>
      <c r="M20" s="22" t="s">
        <v>35</v>
      </c>
      <c r="N20" s="22" t="s">
        <v>29</v>
      </c>
      <c r="O20" s="38">
        <v>2114</v>
      </c>
      <c r="P20" s="50">
        <v>66</v>
      </c>
    </row>
    <row r="21" spans="12:16" ht="15.6" x14ac:dyDescent="0.3">
      <c r="L21" s="22" t="s">
        <v>6</v>
      </c>
      <c r="M21" s="22" t="s">
        <v>37</v>
      </c>
      <c r="N21" s="22" t="s">
        <v>31</v>
      </c>
      <c r="O21" s="38">
        <v>7693</v>
      </c>
      <c r="P21" s="50">
        <v>87</v>
      </c>
    </row>
    <row r="22" spans="12:16" ht="15.6" x14ac:dyDescent="0.3">
      <c r="L22" s="22" t="s">
        <v>5</v>
      </c>
      <c r="M22" s="22" t="s">
        <v>34</v>
      </c>
      <c r="N22" s="22" t="s">
        <v>20</v>
      </c>
      <c r="O22" s="38">
        <v>15610</v>
      </c>
      <c r="P22" s="50">
        <v>339</v>
      </c>
    </row>
    <row r="23" spans="12:16" ht="15.6" x14ac:dyDescent="0.3">
      <c r="L23" s="22" t="s">
        <v>41</v>
      </c>
      <c r="M23" s="22" t="s">
        <v>34</v>
      </c>
      <c r="N23" s="22" t="s">
        <v>22</v>
      </c>
      <c r="O23" s="38">
        <v>336</v>
      </c>
      <c r="P23" s="50">
        <v>144</v>
      </c>
    </row>
    <row r="24" spans="12:16" ht="15.6" x14ac:dyDescent="0.3">
      <c r="L24" s="22" t="s">
        <v>2</v>
      </c>
      <c r="M24" s="22" t="s">
        <v>39</v>
      </c>
      <c r="N24" s="22" t="s">
        <v>20</v>
      </c>
      <c r="O24" s="38">
        <v>9443</v>
      </c>
      <c r="P24" s="50">
        <v>162</v>
      </c>
    </row>
    <row r="25" spans="12:16" ht="15.6" x14ac:dyDescent="0.3">
      <c r="L25" s="22" t="s">
        <v>9</v>
      </c>
      <c r="M25" s="22" t="s">
        <v>34</v>
      </c>
      <c r="N25" s="22" t="s">
        <v>23</v>
      </c>
      <c r="O25" s="38">
        <v>8155</v>
      </c>
      <c r="P25" s="50">
        <v>90</v>
      </c>
    </row>
    <row r="26" spans="12:16" ht="15.6" x14ac:dyDescent="0.3">
      <c r="L26" s="22" t="s">
        <v>8</v>
      </c>
      <c r="M26" s="22" t="s">
        <v>38</v>
      </c>
      <c r="N26" s="22" t="s">
        <v>23</v>
      </c>
      <c r="O26" s="38">
        <v>1701</v>
      </c>
      <c r="P26" s="50">
        <v>234</v>
      </c>
    </row>
    <row r="27" spans="12:16" ht="15.6" x14ac:dyDescent="0.3">
      <c r="L27" s="22" t="s">
        <v>10</v>
      </c>
      <c r="M27" s="22" t="s">
        <v>38</v>
      </c>
      <c r="N27" s="22" t="s">
        <v>22</v>
      </c>
      <c r="O27" s="38">
        <v>2205</v>
      </c>
      <c r="P27" s="50">
        <v>141</v>
      </c>
    </row>
    <row r="28" spans="12:16" ht="15.6" x14ac:dyDescent="0.3">
      <c r="L28" s="22" t="s">
        <v>8</v>
      </c>
      <c r="M28" s="22" t="s">
        <v>37</v>
      </c>
      <c r="N28" s="22" t="s">
        <v>19</v>
      </c>
      <c r="O28" s="38">
        <v>1771</v>
      </c>
      <c r="P28" s="50">
        <v>204</v>
      </c>
    </row>
    <row r="29" spans="12:16" ht="15.6" x14ac:dyDescent="0.3">
      <c r="L29" s="22" t="s">
        <v>41</v>
      </c>
      <c r="M29" s="22" t="s">
        <v>35</v>
      </c>
      <c r="N29" s="22" t="s">
        <v>15</v>
      </c>
      <c r="O29" s="38">
        <v>2114</v>
      </c>
      <c r="P29" s="50">
        <v>186</v>
      </c>
    </row>
    <row r="30" spans="12:16" ht="15.6" x14ac:dyDescent="0.3">
      <c r="L30" s="22" t="s">
        <v>41</v>
      </c>
      <c r="M30" s="22" t="s">
        <v>36</v>
      </c>
      <c r="N30" s="22" t="s">
        <v>13</v>
      </c>
      <c r="O30" s="38">
        <v>10311</v>
      </c>
      <c r="P30" s="50">
        <v>231</v>
      </c>
    </row>
    <row r="31" spans="12:16" ht="15.6" x14ac:dyDescent="0.3">
      <c r="L31" s="22" t="s">
        <v>3</v>
      </c>
      <c r="M31" s="22" t="s">
        <v>39</v>
      </c>
      <c r="N31" s="22" t="s">
        <v>16</v>
      </c>
      <c r="O31" s="38">
        <v>21</v>
      </c>
      <c r="P31" s="50">
        <v>168</v>
      </c>
    </row>
    <row r="32" spans="12:16" ht="15.6" x14ac:dyDescent="0.3">
      <c r="L32" s="22" t="s">
        <v>10</v>
      </c>
      <c r="M32" s="22" t="s">
        <v>35</v>
      </c>
      <c r="N32" s="22" t="s">
        <v>20</v>
      </c>
      <c r="O32" s="38">
        <v>1974</v>
      </c>
      <c r="P32" s="50">
        <v>195</v>
      </c>
    </row>
    <row r="33" spans="12:16" ht="15.6" x14ac:dyDescent="0.3">
      <c r="L33" s="22" t="s">
        <v>5</v>
      </c>
      <c r="M33" s="22" t="s">
        <v>36</v>
      </c>
      <c r="N33" s="22" t="s">
        <v>23</v>
      </c>
      <c r="O33" s="38">
        <v>6314</v>
      </c>
      <c r="P33" s="50">
        <v>15</v>
      </c>
    </row>
    <row r="34" spans="12:16" ht="15.6" x14ac:dyDescent="0.3">
      <c r="L34" s="22" t="s">
        <v>10</v>
      </c>
      <c r="M34" s="22" t="s">
        <v>37</v>
      </c>
      <c r="N34" s="22" t="s">
        <v>23</v>
      </c>
      <c r="O34" s="38">
        <v>4683</v>
      </c>
      <c r="P34" s="50">
        <v>30</v>
      </c>
    </row>
    <row r="35" spans="12:16" ht="15.6" x14ac:dyDescent="0.3">
      <c r="L35" s="22" t="s">
        <v>41</v>
      </c>
      <c r="M35" s="22" t="s">
        <v>37</v>
      </c>
      <c r="N35" s="22" t="s">
        <v>24</v>
      </c>
      <c r="O35" s="38">
        <v>6398</v>
      </c>
      <c r="P35" s="50">
        <v>102</v>
      </c>
    </row>
    <row r="36" spans="12:16" ht="15.6" x14ac:dyDescent="0.3">
      <c r="L36" s="22" t="s">
        <v>2</v>
      </c>
      <c r="M36" s="22" t="s">
        <v>35</v>
      </c>
      <c r="N36" s="22" t="s">
        <v>19</v>
      </c>
      <c r="O36" s="38">
        <v>553</v>
      </c>
      <c r="P36" s="50">
        <v>15</v>
      </c>
    </row>
    <row r="37" spans="12:16" ht="15.6" x14ac:dyDescent="0.3">
      <c r="L37" s="22" t="s">
        <v>8</v>
      </c>
      <c r="M37" s="22" t="s">
        <v>39</v>
      </c>
      <c r="N37" s="22" t="s">
        <v>30</v>
      </c>
      <c r="O37" s="38">
        <v>7021</v>
      </c>
      <c r="P37" s="50">
        <v>183</v>
      </c>
    </row>
    <row r="38" spans="12:16" ht="15.6" x14ac:dyDescent="0.3">
      <c r="L38" s="22" t="s">
        <v>40</v>
      </c>
      <c r="M38" s="22" t="s">
        <v>39</v>
      </c>
      <c r="N38" s="22" t="s">
        <v>22</v>
      </c>
      <c r="O38" s="38">
        <v>5817</v>
      </c>
      <c r="P38" s="50">
        <v>12</v>
      </c>
    </row>
    <row r="39" spans="12:16" ht="15.6" x14ac:dyDescent="0.3">
      <c r="L39" s="22" t="s">
        <v>41</v>
      </c>
      <c r="M39" s="22" t="s">
        <v>39</v>
      </c>
      <c r="N39" s="22" t="s">
        <v>14</v>
      </c>
      <c r="O39" s="38">
        <v>3976</v>
      </c>
      <c r="P39" s="50">
        <v>72</v>
      </c>
    </row>
    <row r="40" spans="12:16" ht="15.6" x14ac:dyDescent="0.3">
      <c r="L40" s="22" t="s">
        <v>6</v>
      </c>
      <c r="M40" s="22" t="s">
        <v>38</v>
      </c>
      <c r="N40" s="22" t="s">
        <v>27</v>
      </c>
      <c r="O40" s="38">
        <v>1134</v>
      </c>
      <c r="P40" s="50">
        <v>282</v>
      </c>
    </row>
    <row r="41" spans="12:16" ht="15.6" x14ac:dyDescent="0.3">
      <c r="L41" s="22" t="s">
        <v>2</v>
      </c>
      <c r="M41" s="22" t="s">
        <v>39</v>
      </c>
      <c r="N41" s="22" t="s">
        <v>28</v>
      </c>
      <c r="O41" s="38">
        <v>6027</v>
      </c>
      <c r="P41" s="50">
        <v>144</v>
      </c>
    </row>
    <row r="42" spans="12:16" ht="15.6" x14ac:dyDescent="0.3">
      <c r="L42" s="22" t="s">
        <v>6</v>
      </c>
      <c r="M42" s="22" t="s">
        <v>37</v>
      </c>
      <c r="N42" s="22" t="s">
        <v>16</v>
      </c>
      <c r="O42" s="38">
        <v>1904</v>
      </c>
      <c r="P42" s="50">
        <v>405</v>
      </c>
    </row>
    <row r="43" spans="12:16" ht="15.6" x14ac:dyDescent="0.3">
      <c r="L43" s="22" t="s">
        <v>7</v>
      </c>
      <c r="M43" s="22" t="s">
        <v>34</v>
      </c>
      <c r="N43" s="22" t="s">
        <v>32</v>
      </c>
      <c r="O43" s="38">
        <v>3262</v>
      </c>
      <c r="P43" s="50">
        <v>75</v>
      </c>
    </row>
    <row r="44" spans="12:16" ht="15.6" x14ac:dyDescent="0.3">
      <c r="L44" s="22" t="s">
        <v>40</v>
      </c>
      <c r="M44" s="22" t="s">
        <v>34</v>
      </c>
      <c r="N44" s="22" t="s">
        <v>27</v>
      </c>
      <c r="O44" s="38">
        <v>2289</v>
      </c>
      <c r="P44" s="50">
        <v>135</v>
      </c>
    </row>
    <row r="45" spans="12:16" ht="15.6" x14ac:dyDescent="0.3">
      <c r="L45" s="22" t="s">
        <v>5</v>
      </c>
      <c r="M45" s="22" t="s">
        <v>34</v>
      </c>
      <c r="N45" s="22" t="s">
        <v>27</v>
      </c>
      <c r="O45" s="38">
        <v>6986</v>
      </c>
      <c r="P45" s="50">
        <v>21</v>
      </c>
    </row>
    <row r="46" spans="12:16" ht="15.6" x14ac:dyDescent="0.3">
      <c r="L46" s="22" t="s">
        <v>2</v>
      </c>
      <c r="M46" s="22" t="s">
        <v>38</v>
      </c>
      <c r="N46" s="22" t="s">
        <v>23</v>
      </c>
      <c r="O46" s="38">
        <v>4417</v>
      </c>
      <c r="P46" s="50">
        <v>153</v>
      </c>
    </row>
    <row r="47" spans="12:16" ht="15.6" x14ac:dyDescent="0.3">
      <c r="L47" s="22" t="s">
        <v>6</v>
      </c>
      <c r="M47" s="22" t="s">
        <v>34</v>
      </c>
      <c r="N47" s="22" t="s">
        <v>15</v>
      </c>
      <c r="O47" s="38">
        <v>1442</v>
      </c>
      <c r="P47" s="50">
        <v>15</v>
      </c>
    </row>
    <row r="48" spans="12:16" ht="15.6" x14ac:dyDescent="0.3">
      <c r="L48" s="22" t="s">
        <v>3</v>
      </c>
      <c r="M48" s="22" t="s">
        <v>35</v>
      </c>
      <c r="N48" s="22" t="s">
        <v>14</v>
      </c>
      <c r="O48" s="38">
        <v>2415</v>
      </c>
      <c r="P48" s="50">
        <v>255</v>
      </c>
    </row>
    <row r="49" spans="12:16" ht="15.6" x14ac:dyDescent="0.3">
      <c r="L49" s="22" t="s">
        <v>2</v>
      </c>
      <c r="M49" s="22" t="s">
        <v>37</v>
      </c>
      <c r="N49" s="22" t="s">
        <v>19</v>
      </c>
      <c r="O49" s="38">
        <v>238</v>
      </c>
      <c r="P49" s="50">
        <v>18</v>
      </c>
    </row>
    <row r="50" spans="12:16" ht="15.6" x14ac:dyDescent="0.3">
      <c r="L50" s="22" t="s">
        <v>6</v>
      </c>
      <c r="M50" s="22" t="s">
        <v>37</v>
      </c>
      <c r="N50" s="22" t="s">
        <v>23</v>
      </c>
      <c r="O50" s="38">
        <v>4949</v>
      </c>
      <c r="P50" s="50">
        <v>189</v>
      </c>
    </row>
    <row r="51" spans="12:16" ht="15.6" x14ac:dyDescent="0.3">
      <c r="L51" s="22" t="s">
        <v>5</v>
      </c>
      <c r="M51" s="22" t="s">
        <v>38</v>
      </c>
      <c r="N51" s="22" t="s">
        <v>32</v>
      </c>
      <c r="O51" s="38">
        <v>5075</v>
      </c>
      <c r="P51" s="50">
        <v>21</v>
      </c>
    </row>
    <row r="52" spans="12:16" ht="15.6" x14ac:dyDescent="0.3">
      <c r="L52" s="22" t="s">
        <v>3</v>
      </c>
      <c r="M52" s="22" t="s">
        <v>36</v>
      </c>
      <c r="N52" s="22" t="s">
        <v>16</v>
      </c>
      <c r="O52" s="38">
        <v>9198</v>
      </c>
      <c r="P52" s="50">
        <v>36</v>
      </c>
    </row>
    <row r="53" spans="12:16" ht="15.6" x14ac:dyDescent="0.3">
      <c r="L53" s="22" t="s">
        <v>6</v>
      </c>
      <c r="M53" s="22" t="s">
        <v>34</v>
      </c>
      <c r="N53" s="22" t="s">
        <v>29</v>
      </c>
      <c r="O53" s="38">
        <v>3339</v>
      </c>
      <c r="P53" s="50">
        <v>75</v>
      </c>
    </row>
    <row r="54" spans="12:16" ht="15.6" x14ac:dyDescent="0.3">
      <c r="L54" s="22" t="s">
        <v>40</v>
      </c>
      <c r="M54" s="22" t="s">
        <v>34</v>
      </c>
      <c r="N54" s="22" t="s">
        <v>17</v>
      </c>
      <c r="O54" s="38">
        <v>5019</v>
      </c>
      <c r="P54" s="50">
        <v>156</v>
      </c>
    </row>
    <row r="55" spans="12:16" ht="15.6" x14ac:dyDescent="0.3">
      <c r="L55" s="22" t="s">
        <v>5</v>
      </c>
      <c r="M55" s="22" t="s">
        <v>36</v>
      </c>
      <c r="N55" s="22" t="s">
        <v>16</v>
      </c>
      <c r="O55" s="38">
        <v>16184</v>
      </c>
      <c r="P55" s="50">
        <v>39</v>
      </c>
    </row>
    <row r="56" spans="12:16" ht="15.6" x14ac:dyDescent="0.3">
      <c r="L56" s="22" t="s">
        <v>6</v>
      </c>
      <c r="M56" s="22" t="s">
        <v>36</v>
      </c>
      <c r="N56" s="22" t="s">
        <v>21</v>
      </c>
      <c r="O56" s="38">
        <v>497</v>
      </c>
      <c r="P56" s="50">
        <v>63</v>
      </c>
    </row>
    <row r="57" spans="12:16" ht="15.6" x14ac:dyDescent="0.3">
      <c r="L57" s="22" t="s">
        <v>2</v>
      </c>
      <c r="M57" s="22" t="s">
        <v>36</v>
      </c>
      <c r="N57" s="22" t="s">
        <v>29</v>
      </c>
      <c r="O57" s="38">
        <v>8211</v>
      </c>
      <c r="P57" s="50">
        <v>75</v>
      </c>
    </row>
    <row r="58" spans="12:16" ht="15.6" x14ac:dyDescent="0.3">
      <c r="L58" s="22" t="s">
        <v>2</v>
      </c>
      <c r="M58" s="22" t="s">
        <v>38</v>
      </c>
      <c r="N58" s="22" t="s">
        <v>28</v>
      </c>
      <c r="O58" s="38">
        <v>6580</v>
      </c>
      <c r="P58" s="50">
        <v>183</v>
      </c>
    </row>
    <row r="59" spans="12:16" ht="15.6" x14ac:dyDescent="0.3">
      <c r="L59" s="22" t="s">
        <v>41</v>
      </c>
      <c r="M59" s="22" t="s">
        <v>35</v>
      </c>
      <c r="N59" s="22" t="s">
        <v>13</v>
      </c>
      <c r="O59" s="38">
        <v>4760</v>
      </c>
      <c r="P59" s="50">
        <v>69</v>
      </c>
    </row>
    <row r="60" spans="12:16" ht="15.6" x14ac:dyDescent="0.3">
      <c r="L60" s="22" t="s">
        <v>40</v>
      </c>
      <c r="M60" s="22" t="s">
        <v>36</v>
      </c>
      <c r="N60" s="22" t="s">
        <v>25</v>
      </c>
      <c r="O60" s="38">
        <v>5439</v>
      </c>
      <c r="P60" s="50">
        <v>30</v>
      </c>
    </row>
    <row r="61" spans="12:16" ht="15.6" x14ac:dyDescent="0.3">
      <c r="L61" s="22" t="s">
        <v>41</v>
      </c>
      <c r="M61" s="22" t="s">
        <v>34</v>
      </c>
      <c r="N61" s="22" t="s">
        <v>17</v>
      </c>
      <c r="O61" s="38">
        <v>1463</v>
      </c>
      <c r="P61" s="50">
        <v>39</v>
      </c>
    </row>
    <row r="62" spans="12:16" ht="15.6" x14ac:dyDescent="0.3">
      <c r="L62" s="22" t="s">
        <v>3</v>
      </c>
      <c r="M62" s="22" t="s">
        <v>34</v>
      </c>
      <c r="N62" s="22" t="s">
        <v>32</v>
      </c>
      <c r="O62" s="38">
        <v>7777</v>
      </c>
      <c r="P62" s="50">
        <v>504</v>
      </c>
    </row>
    <row r="63" spans="12:16" ht="15.6" x14ac:dyDescent="0.3">
      <c r="L63" s="22" t="s">
        <v>9</v>
      </c>
      <c r="M63" s="22" t="s">
        <v>37</v>
      </c>
      <c r="N63" s="22" t="s">
        <v>29</v>
      </c>
      <c r="O63" s="38">
        <v>1085</v>
      </c>
      <c r="P63" s="50">
        <v>273</v>
      </c>
    </row>
    <row r="64" spans="12:16" ht="15.6" x14ac:dyDescent="0.3">
      <c r="L64" s="22" t="s">
        <v>5</v>
      </c>
      <c r="M64" s="22" t="s">
        <v>37</v>
      </c>
      <c r="N64" s="22" t="s">
        <v>31</v>
      </c>
      <c r="O64" s="38">
        <v>182</v>
      </c>
      <c r="P64" s="50">
        <v>48</v>
      </c>
    </row>
    <row r="65" spans="12:16" ht="15.6" x14ac:dyDescent="0.3">
      <c r="L65" s="22" t="s">
        <v>6</v>
      </c>
      <c r="M65" s="22" t="s">
        <v>34</v>
      </c>
      <c r="N65" s="22" t="s">
        <v>27</v>
      </c>
      <c r="O65" s="38">
        <v>4242</v>
      </c>
      <c r="P65" s="50">
        <v>207</v>
      </c>
    </row>
    <row r="66" spans="12:16" ht="15.6" x14ac:dyDescent="0.3">
      <c r="L66" s="22" t="s">
        <v>6</v>
      </c>
      <c r="M66" s="22" t="s">
        <v>36</v>
      </c>
      <c r="N66" s="22" t="s">
        <v>32</v>
      </c>
      <c r="O66" s="38">
        <v>6118</v>
      </c>
      <c r="P66" s="50">
        <v>9</v>
      </c>
    </row>
    <row r="67" spans="12:16" ht="15.6" x14ac:dyDescent="0.3">
      <c r="L67" s="22" t="s">
        <v>10</v>
      </c>
      <c r="M67" s="22" t="s">
        <v>36</v>
      </c>
      <c r="N67" s="22" t="s">
        <v>23</v>
      </c>
      <c r="O67" s="38">
        <v>2317</v>
      </c>
      <c r="P67" s="50">
        <v>261</v>
      </c>
    </row>
    <row r="68" spans="12:16" ht="15.6" x14ac:dyDescent="0.3">
      <c r="L68" s="22" t="s">
        <v>6</v>
      </c>
      <c r="M68" s="22" t="s">
        <v>38</v>
      </c>
      <c r="N68" s="22" t="s">
        <v>16</v>
      </c>
      <c r="O68" s="38">
        <v>938</v>
      </c>
      <c r="P68" s="50">
        <v>6</v>
      </c>
    </row>
    <row r="69" spans="12:16" ht="15.6" x14ac:dyDescent="0.3">
      <c r="L69" s="22" t="s">
        <v>8</v>
      </c>
      <c r="M69" s="22" t="s">
        <v>37</v>
      </c>
      <c r="N69" s="22" t="s">
        <v>15</v>
      </c>
      <c r="O69" s="38">
        <v>9709</v>
      </c>
      <c r="P69" s="50">
        <v>30</v>
      </c>
    </row>
    <row r="70" spans="12:16" ht="15.6" x14ac:dyDescent="0.3">
      <c r="L70" s="22" t="s">
        <v>7</v>
      </c>
      <c r="M70" s="22" t="s">
        <v>34</v>
      </c>
      <c r="N70" s="22" t="s">
        <v>20</v>
      </c>
      <c r="O70" s="38">
        <v>2205</v>
      </c>
      <c r="P70" s="50">
        <v>138</v>
      </c>
    </row>
    <row r="71" spans="12:16" ht="15.6" x14ac:dyDescent="0.3">
      <c r="L71" s="22" t="s">
        <v>7</v>
      </c>
      <c r="M71" s="22" t="s">
        <v>37</v>
      </c>
      <c r="N71" s="22" t="s">
        <v>17</v>
      </c>
      <c r="O71" s="38">
        <v>4487</v>
      </c>
      <c r="P71" s="50">
        <v>111</v>
      </c>
    </row>
    <row r="72" spans="12:16" ht="15.6" x14ac:dyDescent="0.3">
      <c r="L72" s="22" t="s">
        <v>5</v>
      </c>
      <c r="M72" s="22" t="s">
        <v>35</v>
      </c>
      <c r="N72" s="22" t="s">
        <v>18</v>
      </c>
      <c r="O72" s="38">
        <v>2415</v>
      </c>
      <c r="P72" s="50">
        <v>15</v>
      </c>
    </row>
    <row r="73" spans="12:16" ht="15.6" x14ac:dyDescent="0.3">
      <c r="L73" s="22" t="s">
        <v>40</v>
      </c>
      <c r="M73" s="22" t="s">
        <v>34</v>
      </c>
      <c r="N73" s="22" t="s">
        <v>19</v>
      </c>
      <c r="O73" s="38">
        <v>4018</v>
      </c>
      <c r="P73" s="50">
        <v>162</v>
      </c>
    </row>
    <row r="74" spans="12:16" ht="15.6" x14ac:dyDescent="0.3">
      <c r="L74" s="22" t="s">
        <v>5</v>
      </c>
      <c r="M74" s="22" t="s">
        <v>34</v>
      </c>
      <c r="N74" s="22" t="s">
        <v>19</v>
      </c>
      <c r="O74" s="38">
        <v>861</v>
      </c>
      <c r="P74" s="50">
        <v>195</v>
      </c>
    </row>
    <row r="75" spans="12:16" ht="15.6" x14ac:dyDescent="0.3">
      <c r="L75" s="22" t="s">
        <v>10</v>
      </c>
      <c r="M75" s="22" t="s">
        <v>38</v>
      </c>
      <c r="N75" s="22" t="s">
        <v>14</v>
      </c>
      <c r="O75" s="38">
        <v>5586</v>
      </c>
      <c r="P75" s="50">
        <v>525</v>
      </c>
    </row>
    <row r="76" spans="12:16" ht="15.6" x14ac:dyDescent="0.3">
      <c r="L76" s="22" t="s">
        <v>7</v>
      </c>
      <c r="M76" s="22" t="s">
        <v>34</v>
      </c>
      <c r="N76" s="22" t="s">
        <v>33</v>
      </c>
      <c r="O76" s="38">
        <v>2226</v>
      </c>
      <c r="P76" s="50">
        <v>48</v>
      </c>
    </row>
    <row r="77" spans="12:16" ht="15.6" x14ac:dyDescent="0.3">
      <c r="L77" s="22" t="s">
        <v>9</v>
      </c>
      <c r="M77" s="22" t="s">
        <v>34</v>
      </c>
      <c r="N77" s="22" t="s">
        <v>28</v>
      </c>
      <c r="O77" s="38">
        <v>14329</v>
      </c>
      <c r="P77" s="50">
        <v>150</v>
      </c>
    </row>
    <row r="78" spans="12:16" ht="15.6" x14ac:dyDescent="0.3">
      <c r="L78" s="22" t="s">
        <v>9</v>
      </c>
      <c r="M78" s="22" t="s">
        <v>34</v>
      </c>
      <c r="N78" s="22" t="s">
        <v>20</v>
      </c>
      <c r="O78" s="38">
        <v>8463</v>
      </c>
      <c r="P78" s="50">
        <v>492</v>
      </c>
    </row>
    <row r="79" spans="12:16" ht="15.6" x14ac:dyDescent="0.3">
      <c r="L79" s="22" t="s">
        <v>5</v>
      </c>
      <c r="M79" s="22" t="s">
        <v>34</v>
      </c>
      <c r="N79" s="22" t="s">
        <v>29</v>
      </c>
      <c r="O79" s="38">
        <v>2891</v>
      </c>
      <c r="P79" s="50">
        <v>102</v>
      </c>
    </row>
    <row r="80" spans="12:16" ht="15.6" x14ac:dyDescent="0.3">
      <c r="L80" s="22" t="s">
        <v>3</v>
      </c>
      <c r="M80" s="22" t="s">
        <v>36</v>
      </c>
      <c r="N80" s="22" t="s">
        <v>23</v>
      </c>
      <c r="O80" s="38">
        <v>3773</v>
      </c>
      <c r="P80" s="50">
        <v>165</v>
      </c>
    </row>
    <row r="81" spans="12:16" ht="15.6" x14ac:dyDescent="0.3">
      <c r="L81" s="22" t="s">
        <v>41</v>
      </c>
      <c r="M81" s="22" t="s">
        <v>36</v>
      </c>
      <c r="N81" s="22" t="s">
        <v>28</v>
      </c>
      <c r="O81" s="38">
        <v>854</v>
      </c>
      <c r="P81" s="50">
        <v>309</v>
      </c>
    </row>
    <row r="82" spans="12:16" ht="15.6" x14ac:dyDescent="0.3">
      <c r="L82" s="22" t="s">
        <v>6</v>
      </c>
      <c r="M82" s="22" t="s">
        <v>36</v>
      </c>
      <c r="N82" s="22" t="s">
        <v>17</v>
      </c>
      <c r="O82" s="38">
        <v>4970</v>
      </c>
      <c r="P82" s="50">
        <v>156</v>
      </c>
    </row>
    <row r="83" spans="12:16" ht="15.6" x14ac:dyDescent="0.3">
      <c r="L83" s="22" t="s">
        <v>9</v>
      </c>
      <c r="M83" s="22" t="s">
        <v>35</v>
      </c>
      <c r="N83" s="22" t="s">
        <v>26</v>
      </c>
      <c r="O83" s="38">
        <v>98</v>
      </c>
      <c r="P83" s="50">
        <v>159</v>
      </c>
    </row>
    <row r="84" spans="12:16" ht="15.6" x14ac:dyDescent="0.3">
      <c r="L84" s="22" t="s">
        <v>5</v>
      </c>
      <c r="M84" s="22" t="s">
        <v>35</v>
      </c>
      <c r="N84" s="22" t="s">
        <v>15</v>
      </c>
      <c r="O84" s="38">
        <v>13391</v>
      </c>
      <c r="P84" s="50">
        <v>201</v>
      </c>
    </row>
    <row r="85" spans="12:16" ht="15.6" x14ac:dyDescent="0.3">
      <c r="L85" s="22" t="s">
        <v>8</v>
      </c>
      <c r="M85" s="22" t="s">
        <v>39</v>
      </c>
      <c r="N85" s="22" t="s">
        <v>31</v>
      </c>
      <c r="O85" s="38">
        <v>8890</v>
      </c>
      <c r="P85" s="50">
        <v>210</v>
      </c>
    </row>
    <row r="86" spans="12:16" ht="15.6" x14ac:dyDescent="0.3">
      <c r="L86" s="22" t="s">
        <v>2</v>
      </c>
      <c r="M86" s="22" t="s">
        <v>38</v>
      </c>
      <c r="N86" s="22" t="s">
        <v>13</v>
      </c>
      <c r="O86" s="38">
        <v>56</v>
      </c>
      <c r="P86" s="50">
        <v>51</v>
      </c>
    </row>
    <row r="87" spans="12:16" ht="15.6" x14ac:dyDescent="0.3">
      <c r="L87" s="22" t="s">
        <v>3</v>
      </c>
      <c r="M87" s="22" t="s">
        <v>36</v>
      </c>
      <c r="N87" s="22" t="s">
        <v>25</v>
      </c>
      <c r="O87" s="38">
        <v>3339</v>
      </c>
      <c r="P87" s="50">
        <v>39</v>
      </c>
    </row>
    <row r="88" spans="12:16" ht="15.6" x14ac:dyDescent="0.3">
      <c r="L88" s="22" t="s">
        <v>10</v>
      </c>
      <c r="M88" s="22" t="s">
        <v>35</v>
      </c>
      <c r="N88" s="22" t="s">
        <v>18</v>
      </c>
      <c r="O88" s="38">
        <v>3808</v>
      </c>
      <c r="P88" s="50">
        <v>279</v>
      </c>
    </row>
    <row r="89" spans="12:16" ht="15.6" x14ac:dyDescent="0.3">
      <c r="L89" s="22" t="s">
        <v>10</v>
      </c>
      <c r="M89" s="22" t="s">
        <v>38</v>
      </c>
      <c r="N89" s="22" t="s">
        <v>13</v>
      </c>
      <c r="O89" s="38">
        <v>63</v>
      </c>
      <c r="P89" s="50">
        <v>123</v>
      </c>
    </row>
    <row r="90" spans="12:16" ht="15.6" x14ac:dyDescent="0.3">
      <c r="L90" s="22" t="s">
        <v>2</v>
      </c>
      <c r="M90" s="22" t="s">
        <v>39</v>
      </c>
      <c r="N90" s="22" t="s">
        <v>27</v>
      </c>
      <c r="O90" s="38">
        <v>7812</v>
      </c>
      <c r="P90" s="50">
        <v>81</v>
      </c>
    </row>
    <row r="91" spans="12:16" ht="15.6" x14ac:dyDescent="0.3">
      <c r="L91" s="22" t="s">
        <v>40</v>
      </c>
      <c r="M91" s="22" t="s">
        <v>37</v>
      </c>
      <c r="N91" s="22" t="s">
        <v>19</v>
      </c>
      <c r="O91" s="38">
        <v>7693</v>
      </c>
      <c r="P91" s="50">
        <v>21</v>
      </c>
    </row>
    <row r="92" spans="12:16" ht="15.6" x14ac:dyDescent="0.3">
      <c r="L92" s="22" t="s">
        <v>3</v>
      </c>
      <c r="M92" s="22" t="s">
        <v>36</v>
      </c>
      <c r="N92" s="22" t="s">
        <v>28</v>
      </c>
      <c r="O92" s="38">
        <v>973</v>
      </c>
      <c r="P92" s="50">
        <v>162</v>
      </c>
    </row>
    <row r="93" spans="12:16" ht="15.6" x14ac:dyDescent="0.3">
      <c r="L93" s="22" t="s">
        <v>10</v>
      </c>
      <c r="M93" s="22" t="s">
        <v>35</v>
      </c>
      <c r="N93" s="22" t="s">
        <v>21</v>
      </c>
      <c r="O93" s="38">
        <v>567</v>
      </c>
      <c r="P93" s="50">
        <v>228</v>
      </c>
    </row>
    <row r="94" spans="12:16" ht="15.6" x14ac:dyDescent="0.3">
      <c r="L94" s="22" t="s">
        <v>10</v>
      </c>
      <c r="M94" s="22" t="s">
        <v>36</v>
      </c>
      <c r="N94" s="22" t="s">
        <v>29</v>
      </c>
      <c r="O94" s="38">
        <v>2471</v>
      </c>
      <c r="P94" s="50">
        <v>342</v>
      </c>
    </row>
    <row r="95" spans="12:16" ht="15.6" x14ac:dyDescent="0.3">
      <c r="L95" s="22" t="s">
        <v>5</v>
      </c>
      <c r="M95" s="22" t="s">
        <v>38</v>
      </c>
      <c r="N95" s="22" t="s">
        <v>13</v>
      </c>
      <c r="O95" s="38">
        <v>7189</v>
      </c>
      <c r="P95" s="50">
        <v>54</v>
      </c>
    </row>
    <row r="96" spans="12:16" ht="15.6" x14ac:dyDescent="0.3">
      <c r="L96" s="22" t="s">
        <v>41</v>
      </c>
      <c r="M96" s="22" t="s">
        <v>35</v>
      </c>
      <c r="N96" s="22" t="s">
        <v>28</v>
      </c>
      <c r="O96" s="38">
        <v>7455</v>
      </c>
      <c r="P96" s="50">
        <v>216</v>
      </c>
    </row>
    <row r="97" spans="12:16" ht="15.6" x14ac:dyDescent="0.3">
      <c r="L97" s="22" t="s">
        <v>3</v>
      </c>
      <c r="M97" s="22" t="s">
        <v>34</v>
      </c>
      <c r="N97" s="22" t="s">
        <v>26</v>
      </c>
      <c r="O97" s="38">
        <v>3108</v>
      </c>
      <c r="P97" s="50">
        <v>54</v>
      </c>
    </row>
    <row r="98" spans="12:16" ht="15.6" x14ac:dyDescent="0.3">
      <c r="L98" s="22" t="s">
        <v>6</v>
      </c>
      <c r="M98" s="22" t="s">
        <v>38</v>
      </c>
      <c r="N98" s="22" t="s">
        <v>25</v>
      </c>
      <c r="O98" s="38">
        <v>469</v>
      </c>
      <c r="P98" s="50">
        <v>75</v>
      </c>
    </row>
    <row r="99" spans="12:16" ht="15.6" x14ac:dyDescent="0.3">
      <c r="L99" s="22" t="s">
        <v>9</v>
      </c>
      <c r="M99" s="22" t="s">
        <v>37</v>
      </c>
      <c r="N99" s="22" t="s">
        <v>23</v>
      </c>
      <c r="O99" s="38">
        <v>2737</v>
      </c>
      <c r="P99" s="50">
        <v>93</v>
      </c>
    </row>
    <row r="100" spans="12:16" ht="15.6" x14ac:dyDescent="0.3">
      <c r="L100" s="22" t="s">
        <v>9</v>
      </c>
      <c r="M100" s="22" t="s">
        <v>37</v>
      </c>
      <c r="N100" s="22" t="s">
        <v>25</v>
      </c>
      <c r="O100" s="38">
        <v>4305</v>
      </c>
      <c r="P100" s="50">
        <v>156</v>
      </c>
    </row>
    <row r="101" spans="12:16" ht="15.6" x14ac:dyDescent="0.3">
      <c r="L101" s="22" t="s">
        <v>9</v>
      </c>
      <c r="M101" s="22" t="s">
        <v>38</v>
      </c>
      <c r="N101" s="22" t="s">
        <v>17</v>
      </c>
      <c r="O101" s="38">
        <v>2408</v>
      </c>
      <c r="P101" s="50">
        <v>9</v>
      </c>
    </row>
    <row r="102" spans="12:16" ht="15.6" x14ac:dyDescent="0.3">
      <c r="L102" s="22" t="s">
        <v>3</v>
      </c>
      <c r="M102" s="22" t="s">
        <v>36</v>
      </c>
      <c r="N102" s="22" t="s">
        <v>19</v>
      </c>
      <c r="O102" s="38">
        <v>1281</v>
      </c>
      <c r="P102" s="50">
        <v>18</v>
      </c>
    </row>
    <row r="103" spans="12:16" ht="15.6" x14ac:dyDescent="0.3">
      <c r="L103" s="22" t="s">
        <v>40</v>
      </c>
      <c r="M103" s="22" t="s">
        <v>35</v>
      </c>
      <c r="N103" s="22" t="s">
        <v>32</v>
      </c>
      <c r="O103" s="38">
        <v>12348</v>
      </c>
      <c r="P103" s="50">
        <v>234</v>
      </c>
    </row>
    <row r="104" spans="12:16" ht="15.6" x14ac:dyDescent="0.3">
      <c r="L104" s="22" t="s">
        <v>3</v>
      </c>
      <c r="M104" s="22" t="s">
        <v>34</v>
      </c>
      <c r="N104" s="22" t="s">
        <v>28</v>
      </c>
      <c r="O104" s="38">
        <v>3689</v>
      </c>
      <c r="P104" s="50">
        <v>312</v>
      </c>
    </row>
    <row r="105" spans="12:16" ht="15.6" x14ac:dyDescent="0.3">
      <c r="L105" s="22" t="s">
        <v>7</v>
      </c>
      <c r="M105" s="22" t="s">
        <v>36</v>
      </c>
      <c r="N105" s="22" t="s">
        <v>19</v>
      </c>
      <c r="O105" s="38">
        <v>2870</v>
      </c>
      <c r="P105" s="50">
        <v>300</v>
      </c>
    </row>
    <row r="106" spans="12:16" ht="15.6" x14ac:dyDescent="0.3">
      <c r="L106" s="22" t="s">
        <v>2</v>
      </c>
      <c r="M106" s="22" t="s">
        <v>36</v>
      </c>
      <c r="N106" s="22" t="s">
        <v>27</v>
      </c>
      <c r="O106" s="38">
        <v>798</v>
      </c>
      <c r="P106" s="50">
        <v>519</v>
      </c>
    </row>
    <row r="107" spans="12:16" ht="15.6" x14ac:dyDescent="0.3">
      <c r="L107" s="22" t="s">
        <v>41</v>
      </c>
      <c r="M107" s="22" t="s">
        <v>37</v>
      </c>
      <c r="N107" s="22" t="s">
        <v>21</v>
      </c>
      <c r="O107" s="38">
        <v>2933</v>
      </c>
      <c r="P107" s="50">
        <v>9</v>
      </c>
    </row>
    <row r="108" spans="12:16" ht="15.6" x14ac:dyDescent="0.3">
      <c r="L108" s="22" t="s">
        <v>5</v>
      </c>
      <c r="M108" s="22" t="s">
        <v>35</v>
      </c>
      <c r="N108" s="22" t="s">
        <v>4</v>
      </c>
      <c r="O108" s="38">
        <v>2744</v>
      </c>
      <c r="P108" s="50">
        <v>9</v>
      </c>
    </row>
    <row r="109" spans="12:16" ht="15.6" x14ac:dyDescent="0.3">
      <c r="L109" s="22" t="s">
        <v>40</v>
      </c>
      <c r="M109" s="22" t="s">
        <v>36</v>
      </c>
      <c r="N109" s="22" t="s">
        <v>33</v>
      </c>
      <c r="O109" s="38">
        <v>9772</v>
      </c>
      <c r="P109" s="50">
        <v>90</v>
      </c>
    </row>
    <row r="110" spans="12:16" ht="15.6" x14ac:dyDescent="0.3">
      <c r="L110" s="22" t="s">
        <v>7</v>
      </c>
      <c r="M110" s="22" t="s">
        <v>34</v>
      </c>
      <c r="N110" s="22" t="s">
        <v>25</v>
      </c>
      <c r="O110" s="38">
        <v>1568</v>
      </c>
      <c r="P110" s="50">
        <v>96</v>
      </c>
    </row>
    <row r="111" spans="12:16" ht="15.6" x14ac:dyDescent="0.3">
      <c r="L111" s="22" t="s">
        <v>2</v>
      </c>
      <c r="M111" s="22" t="s">
        <v>36</v>
      </c>
      <c r="N111" s="22" t="s">
        <v>16</v>
      </c>
      <c r="O111" s="38">
        <v>11417</v>
      </c>
      <c r="P111" s="50">
        <v>21</v>
      </c>
    </row>
    <row r="112" spans="12:16" ht="15.6" x14ac:dyDescent="0.3">
      <c r="L112" s="22" t="s">
        <v>40</v>
      </c>
      <c r="M112" s="22" t="s">
        <v>34</v>
      </c>
      <c r="N112" s="22" t="s">
        <v>26</v>
      </c>
      <c r="O112" s="38">
        <v>6748</v>
      </c>
      <c r="P112" s="50">
        <v>48</v>
      </c>
    </row>
    <row r="113" spans="12:16" ht="15.6" x14ac:dyDescent="0.3">
      <c r="L113" s="22" t="s">
        <v>10</v>
      </c>
      <c r="M113" s="22" t="s">
        <v>36</v>
      </c>
      <c r="N113" s="22" t="s">
        <v>27</v>
      </c>
      <c r="O113" s="38">
        <v>1407</v>
      </c>
      <c r="P113" s="50">
        <v>72</v>
      </c>
    </row>
    <row r="114" spans="12:16" ht="15.6" x14ac:dyDescent="0.3">
      <c r="L114" s="22" t="s">
        <v>8</v>
      </c>
      <c r="M114" s="22" t="s">
        <v>35</v>
      </c>
      <c r="N114" s="22" t="s">
        <v>29</v>
      </c>
      <c r="O114" s="38">
        <v>2023</v>
      </c>
      <c r="P114" s="50">
        <v>168</v>
      </c>
    </row>
    <row r="115" spans="12:16" ht="15.6" x14ac:dyDescent="0.3">
      <c r="L115" s="22" t="s">
        <v>5</v>
      </c>
      <c r="M115" s="22" t="s">
        <v>39</v>
      </c>
      <c r="N115" s="22" t="s">
        <v>26</v>
      </c>
      <c r="O115" s="38">
        <v>5236</v>
      </c>
      <c r="P115" s="50">
        <v>51</v>
      </c>
    </row>
    <row r="116" spans="12:16" ht="15.6" x14ac:dyDescent="0.3">
      <c r="L116" s="22" t="s">
        <v>41</v>
      </c>
      <c r="M116" s="22" t="s">
        <v>36</v>
      </c>
      <c r="N116" s="22" t="s">
        <v>19</v>
      </c>
      <c r="O116" s="38">
        <v>1925</v>
      </c>
      <c r="P116" s="50">
        <v>192</v>
      </c>
    </row>
    <row r="117" spans="12:16" ht="15.6" x14ac:dyDescent="0.3">
      <c r="L117" s="22" t="s">
        <v>7</v>
      </c>
      <c r="M117" s="22" t="s">
        <v>37</v>
      </c>
      <c r="N117" s="22" t="s">
        <v>14</v>
      </c>
      <c r="O117" s="38">
        <v>6608</v>
      </c>
      <c r="P117" s="50">
        <v>225</v>
      </c>
    </row>
    <row r="118" spans="12:16" ht="15.6" x14ac:dyDescent="0.3">
      <c r="L118" s="22" t="s">
        <v>6</v>
      </c>
      <c r="M118" s="22" t="s">
        <v>34</v>
      </c>
      <c r="N118" s="22" t="s">
        <v>26</v>
      </c>
      <c r="O118" s="38">
        <v>8008</v>
      </c>
      <c r="P118" s="50">
        <v>456</v>
      </c>
    </row>
    <row r="119" spans="12:16" ht="15.6" x14ac:dyDescent="0.3">
      <c r="L119" s="22" t="s">
        <v>10</v>
      </c>
      <c r="M119" s="22" t="s">
        <v>34</v>
      </c>
      <c r="N119" s="22" t="s">
        <v>25</v>
      </c>
      <c r="O119" s="38">
        <v>1428</v>
      </c>
      <c r="P119" s="50">
        <v>93</v>
      </c>
    </row>
    <row r="120" spans="12:16" ht="15.6" x14ac:dyDescent="0.3">
      <c r="L120" s="22" t="s">
        <v>6</v>
      </c>
      <c r="M120" s="22" t="s">
        <v>34</v>
      </c>
      <c r="N120" s="22" t="s">
        <v>4</v>
      </c>
      <c r="O120" s="38">
        <v>525</v>
      </c>
      <c r="P120" s="50">
        <v>48</v>
      </c>
    </row>
    <row r="121" spans="12:16" ht="15.6" x14ac:dyDescent="0.3">
      <c r="L121" s="22" t="s">
        <v>6</v>
      </c>
      <c r="M121" s="22" t="s">
        <v>37</v>
      </c>
      <c r="N121" s="22" t="s">
        <v>18</v>
      </c>
      <c r="O121" s="38">
        <v>1505</v>
      </c>
      <c r="P121" s="50">
        <v>102</v>
      </c>
    </row>
    <row r="122" spans="12:16" ht="15.6" x14ac:dyDescent="0.3">
      <c r="L122" s="22" t="s">
        <v>7</v>
      </c>
      <c r="M122" s="22" t="s">
        <v>35</v>
      </c>
      <c r="N122" s="22" t="s">
        <v>30</v>
      </c>
      <c r="O122" s="38">
        <v>6755</v>
      </c>
      <c r="P122" s="50">
        <v>252</v>
      </c>
    </row>
    <row r="123" spans="12:16" ht="15.6" x14ac:dyDescent="0.3">
      <c r="L123" s="22" t="s">
        <v>2</v>
      </c>
      <c r="M123" s="22" t="s">
        <v>37</v>
      </c>
      <c r="N123" s="22" t="s">
        <v>18</v>
      </c>
      <c r="O123" s="38">
        <v>11571</v>
      </c>
      <c r="P123" s="50">
        <v>138</v>
      </c>
    </row>
    <row r="124" spans="12:16" ht="15.6" x14ac:dyDescent="0.3">
      <c r="L124" s="22" t="s">
        <v>40</v>
      </c>
      <c r="M124" s="22" t="s">
        <v>38</v>
      </c>
      <c r="N124" s="22" t="s">
        <v>25</v>
      </c>
      <c r="O124" s="38">
        <v>2541</v>
      </c>
      <c r="P124" s="50">
        <v>90</v>
      </c>
    </row>
    <row r="125" spans="12:16" ht="15.6" x14ac:dyDescent="0.3">
      <c r="L125" s="22" t="s">
        <v>41</v>
      </c>
      <c r="M125" s="22" t="s">
        <v>37</v>
      </c>
      <c r="N125" s="22" t="s">
        <v>30</v>
      </c>
      <c r="O125" s="38">
        <v>1526</v>
      </c>
      <c r="P125" s="50">
        <v>240</v>
      </c>
    </row>
    <row r="126" spans="12:16" ht="15.6" x14ac:dyDescent="0.3">
      <c r="L126" s="22" t="s">
        <v>40</v>
      </c>
      <c r="M126" s="22" t="s">
        <v>38</v>
      </c>
      <c r="N126" s="22" t="s">
        <v>4</v>
      </c>
      <c r="O126" s="38">
        <v>6125</v>
      </c>
      <c r="P126" s="50">
        <v>102</v>
      </c>
    </row>
    <row r="127" spans="12:16" ht="15.6" x14ac:dyDescent="0.3">
      <c r="L127" s="22" t="s">
        <v>41</v>
      </c>
      <c r="M127" s="22" t="s">
        <v>35</v>
      </c>
      <c r="N127" s="22" t="s">
        <v>27</v>
      </c>
      <c r="O127" s="38">
        <v>847</v>
      </c>
      <c r="P127" s="50">
        <v>129</v>
      </c>
    </row>
    <row r="128" spans="12:16" ht="15.6" x14ac:dyDescent="0.3">
      <c r="L128" s="22" t="s">
        <v>8</v>
      </c>
      <c r="M128" s="22" t="s">
        <v>35</v>
      </c>
      <c r="N128" s="22" t="s">
        <v>27</v>
      </c>
      <c r="O128" s="38">
        <v>4753</v>
      </c>
      <c r="P128" s="50">
        <v>300</v>
      </c>
    </row>
    <row r="129" spans="12:16" ht="15.6" x14ac:dyDescent="0.3">
      <c r="L129" s="22" t="s">
        <v>6</v>
      </c>
      <c r="M129" s="22" t="s">
        <v>38</v>
      </c>
      <c r="N129" s="22" t="s">
        <v>33</v>
      </c>
      <c r="O129" s="38">
        <v>959</v>
      </c>
      <c r="P129" s="50">
        <v>135</v>
      </c>
    </row>
    <row r="130" spans="12:16" ht="15.6" x14ac:dyDescent="0.3">
      <c r="L130" s="22" t="s">
        <v>7</v>
      </c>
      <c r="M130" s="22" t="s">
        <v>35</v>
      </c>
      <c r="N130" s="22" t="s">
        <v>24</v>
      </c>
      <c r="O130" s="38">
        <v>2793</v>
      </c>
      <c r="P130" s="50">
        <v>114</v>
      </c>
    </row>
    <row r="131" spans="12:16" ht="15.6" x14ac:dyDescent="0.3">
      <c r="L131" s="22" t="s">
        <v>7</v>
      </c>
      <c r="M131" s="22" t="s">
        <v>35</v>
      </c>
      <c r="N131" s="22" t="s">
        <v>14</v>
      </c>
      <c r="O131" s="38">
        <v>4606</v>
      </c>
      <c r="P131" s="50">
        <v>63</v>
      </c>
    </row>
    <row r="132" spans="12:16" ht="15.6" x14ac:dyDescent="0.3">
      <c r="L132" s="22" t="s">
        <v>7</v>
      </c>
      <c r="M132" s="22" t="s">
        <v>36</v>
      </c>
      <c r="N132" s="22" t="s">
        <v>29</v>
      </c>
      <c r="O132" s="38">
        <v>5551</v>
      </c>
      <c r="P132" s="50">
        <v>252</v>
      </c>
    </row>
    <row r="133" spans="12:16" ht="15.6" x14ac:dyDescent="0.3">
      <c r="L133" s="22" t="s">
        <v>10</v>
      </c>
      <c r="M133" s="22" t="s">
        <v>36</v>
      </c>
      <c r="N133" s="22" t="s">
        <v>32</v>
      </c>
      <c r="O133" s="38">
        <v>6657</v>
      </c>
      <c r="P133" s="50">
        <v>303</v>
      </c>
    </row>
    <row r="134" spans="12:16" ht="15.6" x14ac:dyDescent="0.3">
      <c r="L134" s="22" t="s">
        <v>7</v>
      </c>
      <c r="M134" s="22" t="s">
        <v>39</v>
      </c>
      <c r="N134" s="22" t="s">
        <v>17</v>
      </c>
      <c r="O134" s="38">
        <v>4438</v>
      </c>
      <c r="P134" s="50">
        <v>246</v>
      </c>
    </row>
    <row r="135" spans="12:16" ht="15.6" x14ac:dyDescent="0.3">
      <c r="L135" s="22" t="s">
        <v>8</v>
      </c>
      <c r="M135" s="22" t="s">
        <v>38</v>
      </c>
      <c r="N135" s="22" t="s">
        <v>22</v>
      </c>
      <c r="O135" s="38">
        <v>168</v>
      </c>
      <c r="P135" s="50">
        <v>84</v>
      </c>
    </row>
    <row r="136" spans="12:16" ht="15.6" x14ac:dyDescent="0.3">
      <c r="L136" s="22" t="s">
        <v>7</v>
      </c>
      <c r="M136" s="22" t="s">
        <v>34</v>
      </c>
      <c r="N136" s="22" t="s">
        <v>17</v>
      </c>
      <c r="O136" s="38">
        <v>7777</v>
      </c>
      <c r="P136" s="50">
        <v>39</v>
      </c>
    </row>
    <row r="137" spans="12:16" ht="15.6" x14ac:dyDescent="0.3">
      <c r="L137" s="22" t="s">
        <v>5</v>
      </c>
      <c r="M137" s="22" t="s">
        <v>36</v>
      </c>
      <c r="N137" s="22" t="s">
        <v>17</v>
      </c>
      <c r="O137" s="38">
        <v>3339</v>
      </c>
      <c r="P137" s="50">
        <v>348</v>
      </c>
    </row>
    <row r="138" spans="12:16" ht="15.6" x14ac:dyDescent="0.3">
      <c r="L138" s="22" t="s">
        <v>7</v>
      </c>
      <c r="M138" s="22" t="s">
        <v>37</v>
      </c>
      <c r="N138" s="22" t="s">
        <v>33</v>
      </c>
      <c r="O138" s="38">
        <v>6391</v>
      </c>
      <c r="P138" s="50">
        <v>48</v>
      </c>
    </row>
    <row r="139" spans="12:16" ht="15.6" x14ac:dyDescent="0.3">
      <c r="L139" s="22" t="s">
        <v>5</v>
      </c>
      <c r="M139" s="22" t="s">
        <v>37</v>
      </c>
      <c r="N139" s="22" t="s">
        <v>22</v>
      </c>
      <c r="O139" s="38">
        <v>518</v>
      </c>
      <c r="P139" s="50">
        <v>75</v>
      </c>
    </row>
    <row r="140" spans="12:16" ht="15.6" x14ac:dyDescent="0.3">
      <c r="L140" s="22" t="s">
        <v>7</v>
      </c>
      <c r="M140" s="22" t="s">
        <v>38</v>
      </c>
      <c r="N140" s="22" t="s">
        <v>28</v>
      </c>
      <c r="O140" s="38">
        <v>5677</v>
      </c>
      <c r="P140" s="50">
        <v>258</v>
      </c>
    </row>
    <row r="141" spans="12:16" ht="15.6" x14ac:dyDescent="0.3">
      <c r="L141" s="22" t="s">
        <v>6</v>
      </c>
      <c r="M141" s="22" t="s">
        <v>39</v>
      </c>
      <c r="N141" s="22" t="s">
        <v>17</v>
      </c>
      <c r="O141" s="38">
        <v>6048</v>
      </c>
      <c r="P141" s="50">
        <v>27</v>
      </c>
    </row>
    <row r="142" spans="12:16" ht="15.6" x14ac:dyDescent="0.3">
      <c r="L142" s="22" t="s">
        <v>8</v>
      </c>
      <c r="M142" s="22" t="s">
        <v>38</v>
      </c>
      <c r="N142" s="22" t="s">
        <v>32</v>
      </c>
      <c r="O142" s="38">
        <v>3752</v>
      </c>
      <c r="P142" s="50">
        <v>213</v>
      </c>
    </row>
    <row r="143" spans="12:16" ht="15.6" x14ac:dyDescent="0.3">
      <c r="L143" s="22" t="s">
        <v>5</v>
      </c>
      <c r="M143" s="22" t="s">
        <v>35</v>
      </c>
      <c r="N143" s="22" t="s">
        <v>29</v>
      </c>
      <c r="O143" s="38">
        <v>4480</v>
      </c>
      <c r="P143" s="50">
        <v>357</v>
      </c>
    </row>
    <row r="144" spans="12:16" ht="15.6" x14ac:dyDescent="0.3">
      <c r="L144" s="22" t="s">
        <v>9</v>
      </c>
      <c r="M144" s="22" t="s">
        <v>37</v>
      </c>
      <c r="N144" s="22" t="s">
        <v>4</v>
      </c>
      <c r="O144" s="38">
        <v>259</v>
      </c>
      <c r="P144" s="50">
        <v>207</v>
      </c>
    </row>
    <row r="145" spans="12:16" ht="15.6" x14ac:dyDescent="0.3">
      <c r="L145" s="22" t="s">
        <v>8</v>
      </c>
      <c r="M145" s="22" t="s">
        <v>37</v>
      </c>
      <c r="N145" s="22" t="s">
        <v>30</v>
      </c>
      <c r="O145" s="38">
        <v>42</v>
      </c>
      <c r="P145" s="50">
        <v>150</v>
      </c>
    </row>
    <row r="146" spans="12:16" ht="15.6" x14ac:dyDescent="0.3">
      <c r="L146" s="22" t="s">
        <v>41</v>
      </c>
      <c r="M146" s="22" t="s">
        <v>36</v>
      </c>
      <c r="N146" s="22" t="s">
        <v>26</v>
      </c>
      <c r="O146" s="38">
        <v>98</v>
      </c>
      <c r="P146" s="50">
        <v>204</v>
      </c>
    </row>
    <row r="147" spans="12:16" ht="15.6" x14ac:dyDescent="0.3">
      <c r="L147" s="22" t="s">
        <v>7</v>
      </c>
      <c r="M147" s="22" t="s">
        <v>35</v>
      </c>
      <c r="N147" s="22" t="s">
        <v>27</v>
      </c>
      <c r="O147" s="38">
        <v>2478</v>
      </c>
      <c r="P147" s="50">
        <v>21</v>
      </c>
    </row>
    <row r="148" spans="12:16" ht="15.6" x14ac:dyDescent="0.3">
      <c r="L148" s="22" t="s">
        <v>41</v>
      </c>
      <c r="M148" s="22" t="s">
        <v>34</v>
      </c>
      <c r="N148" s="22" t="s">
        <v>33</v>
      </c>
      <c r="O148" s="38">
        <v>7847</v>
      </c>
      <c r="P148" s="50">
        <v>174</v>
      </c>
    </row>
    <row r="149" spans="12:16" ht="15.6" x14ac:dyDescent="0.3">
      <c r="L149" s="22" t="s">
        <v>2</v>
      </c>
      <c r="M149" s="22" t="s">
        <v>37</v>
      </c>
      <c r="N149" s="22" t="s">
        <v>17</v>
      </c>
      <c r="O149" s="38">
        <v>9926</v>
      </c>
      <c r="P149" s="50">
        <v>201</v>
      </c>
    </row>
    <row r="150" spans="12:16" ht="15.6" x14ac:dyDescent="0.3">
      <c r="L150" s="22" t="s">
        <v>8</v>
      </c>
      <c r="M150" s="22" t="s">
        <v>38</v>
      </c>
      <c r="N150" s="22" t="s">
        <v>13</v>
      </c>
      <c r="O150" s="38">
        <v>819</v>
      </c>
      <c r="P150" s="50">
        <v>510</v>
      </c>
    </row>
    <row r="151" spans="12:16" ht="15.6" x14ac:dyDescent="0.3">
      <c r="L151" s="22" t="s">
        <v>6</v>
      </c>
      <c r="M151" s="22" t="s">
        <v>39</v>
      </c>
      <c r="N151" s="22" t="s">
        <v>29</v>
      </c>
      <c r="O151" s="38">
        <v>3052</v>
      </c>
      <c r="P151" s="50">
        <v>378</v>
      </c>
    </row>
    <row r="152" spans="12:16" ht="15.6" x14ac:dyDescent="0.3">
      <c r="L152" s="22" t="s">
        <v>9</v>
      </c>
      <c r="M152" s="22" t="s">
        <v>34</v>
      </c>
      <c r="N152" s="22" t="s">
        <v>21</v>
      </c>
      <c r="O152" s="38">
        <v>6832</v>
      </c>
      <c r="P152" s="50">
        <v>27</v>
      </c>
    </row>
    <row r="153" spans="12:16" ht="15.6" x14ac:dyDescent="0.3">
      <c r="L153" s="22" t="s">
        <v>2</v>
      </c>
      <c r="M153" s="22" t="s">
        <v>39</v>
      </c>
      <c r="N153" s="22" t="s">
        <v>16</v>
      </c>
      <c r="O153" s="38">
        <v>2016</v>
      </c>
      <c r="P153" s="50">
        <v>117</v>
      </c>
    </row>
    <row r="154" spans="12:16" ht="15.6" x14ac:dyDescent="0.3">
      <c r="L154" s="22" t="s">
        <v>6</v>
      </c>
      <c r="M154" s="22" t="s">
        <v>38</v>
      </c>
      <c r="N154" s="22" t="s">
        <v>21</v>
      </c>
      <c r="O154" s="38">
        <v>7322</v>
      </c>
      <c r="P154" s="50">
        <v>36</v>
      </c>
    </row>
    <row r="155" spans="12:16" ht="15.6" x14ac:dyDescent="0.3">
      <c r="L155" s="22" t="s">
        <v>8</v>
      </c>
      <c r="M155" s="22" t="s">
        <v>35</v>
      </c>
      <c r="N155" s="22" t="s">
        <v>33</v>
      </c>
      <c r="O155" s="38">
        <v>357</v>
      </c>
      <c r="P155" s="50">
        <v>126</v>
      </c>
    </row>
    <row r="156" spans="12:16" ht="15.6" x14ac:dyDescent="0.3">
      <c r="L156" s="22" t="s">
        <v>9</v>
      </c>
      <c r="M156" s="22" t="s">
        <v>39</v>
      </c>
      <c r="N156" s="22" t="s">
        <v>25</v>
      </c>
      <c r="O156" s="38">
        <v>3192</v>
      </c>
      <c r="P156" s="50">
        <v>72</v>
      </c>
    </row>
    <row r="157" spans="12:16" ht="15.6" x14ac:dyDescent="0.3">
      <c r="L157" s="22" t="s">
        <v>7</v>
      </c>
      <c r="M157" s="22" t="s">
        <v>36</v>
      </c>
      <c r="N157" s="22" t="s">
        <v>22</v>
      </c>
      <c r="O157" s="38">
        <v>8435</v>
      </c>
      <c r="P157" s="50">
        <v>42</v>
      </c>
    </row>
    <row r="158" spans="12:16" ht="15.6" x14ac:dyDescent="0.3">
      <c r="L158" s="22" t="s">
        <v>40</v>
      </c>
      <c r="M158" s="22" t="s">
        <v>39</v>
      </c>
      <c r="N158" s="22" t="s">
        <v>29</v>
      </c>
      <c r="O158" s="38">
        <v>0</v>
      </c>
      <c r="P158" s="50">
        <v>135</v>
      </c>
    </row>
    <row r="159" spans="12:16" ht="15.6" x14ac:dyDescent="0.3">
      <c r="L159" s="22" t="s">
        <v>7</v>
      </c>
      <c r="M159" s="22" t="s">
        <v>34</v>
      </c>
      <c r="N159" s="22" t="s">
        <v>24</v>
      </c>
      <c r="O159" s="38">
        <v>8862</v>
      </c>
      <c r="P159" s="50">
        <v>189</v>
      </c>
    </row>
    <row r="160" spans="12:16" ht="15.6" x14ac:dyDescent="0.3">
      <c r="L160" s="22" t="s">
        <v>6</v>
      </c>
      <c r="M160" s="22" t="s">
        <v>37</v>
      </c>
      <c r="N160" s="22" t="s">
        <v>28</v>
      </c>
      <c r="O160" s="38">
        <v>3556</v>
      </c>
      <c r="P160" s="50">
        <v>459</v>
      </c>
    </row>
    <row r="161" spans="12:16" ht="15.6" x14ac:dyDescent="0.3">
      <c r="L161" s="22" t="s">
        <v>5</v>
      </c>
      <c r="M161" s="22" t="s">
        <v>34</v>
      </c>
      <c r="N161" s="22" t="s">
        <v>15</v>
      </c>
      <c r="O161" s="38">
        <v>7280</v>
      </c>
      <c r="P161" s="50">
        <v>201</v>
      </c>
    </row>
    <row r="162" spans="12:16" ht="15.6" x14ac:dyDescent="0.3">
      <c r="L162" s="22" t="s">
        <v>6</v>
      </c>
      <c r="M162" s="22" t="s">
        <v>34</v>
      </c>
      <c r="N162" s="22" t="s">
        <v>30</v>
      </c>
      <c r="O162" s="38">
        <v>3402</v>
      </c>
      <c r="P162" s="50">
        <v>366</v>
      </c>
    </row>
    <row r="163" spans="12:16" ht="15.6" x14ac:dyDescent="0.3">
      <c r="L163" s="22" t="s">
        <v>3</v>
      </c>
      <c r="M163" s="22" t="s">
        <v>37</v>
      </c>
      <c r="N163" s="22" t="s">
        <v>29</v>
      </c>
      <c r="O163" s="38">
        <v>4592</v>
      </c>
      <c r="P163" s="50">
        <v>324</v>
      </c>
    </row>
    <row r="164" spans="12:16" ht="15.6" x14ac:dyDescent="0.3">
      <c r="L164" s="22" t="s">
        <v>9</v>
      </c>
      <c r="M164" s="22" t="s">
        <v>35</v>
      </c>
      <c r="N164" s="22" t="s">
        <v>15</v>
      </c>
      <c r="O164" s="38">
        <v>7833</v>
      </c>
      <c r="P164" s="50">
        <v>243</v>
      </c>
    </row>
    <row r="165" spans="12:16" ht="15.6" x14ac:dyDescent="0.3">
      <c r="L165" s="22" t="s">
        <v>2</v>
      </c>
      <c r="M165" s="22" t="s">
        <v>39</v>
      </c>
      <c r="N165" s="22" t="s">
        <v>21</v>
      </c>
      <c r="O165" s="38">
        <v>7651</v>
      </c>
      <c r="P165" s="50">
        <v>213</v>
      </c>
    </row>
    <row r="166" spans="12:16" ht="15.6" x14ac:dyDescent="0.3">
      <c r="L166" s="22" t="s">
        <v>40</v>
      </c>
      <c r="M166" s="22" t="s">
        <v>35</v>
      </c>
      <c r="N166" s="22" t="s">
        <v>30</v>
      </c>
      <c r="O166" s="38">
        <v>2275</v>
      </c>
      <c r="P166" s="50">
        <v>447</v>
      </c>
    </row>
    <row r="167" spans="12:16" ht="15.6" x14ac:dyDescent="0.3">
      <c r="L167" s="22" t="s">
        <v>40</v>
      </c>
      <c r="M167" s="22" t="s">
        <v>38</v>
      </c>
      <c r="N167" s="22" t="s">
        <v>13</v>
      </c>
      <c r="O167" s="38">
        <v>5670</v>
      </c>
      <c r="P167" s="50">
        <v>297</v>
      </c>
    </row>
    <row r="168" spans="12:16" ht="15.6" x14ac:dyDescent="0.3">
      <c r="L168" s="22" t="s">
        <v>7</v>
      </c>
      <c r="M168" s="22" t="s">
        <v>35</v>
      </c>
      <c r="N168" s="22" t="s">
        <v>16</v>
      </c>
      <c r="O168" s="38">
        <v>2135</v>
      </c>
      <c r="P168" s="50">
        <v>27</v>
      </c>
    </row>
    <row r="169" spans="12:16" ht="15.6" x14ac:dyDescent="0.3">
      <c r="L169" s="22" t="s">
        <v>40</v>
      </c>
      <c r="M169" s="22" t="s">
        <v>34</v>
      </c>
      <c r="N169" s="22" t="s">
        <v>23</v>
      </c>
      <c r="O169" s="38">
        <v>2779</v>
      </c>
      <c r="P169" s="50">
        <v>75</v>
      </c>
    </row>
    <row r="170" spans="12:16" ht="15.6" x14ac:dyDescent="0.3">
      <c r="L170" s="22" t="s">
        <v>10</v>
      </c>
      <c r="M170" s="22" t="s">
        <v>39</v>
      </c>
      <c r="N170" s="22" t="s">
        <v>33</v>
      </c>
      <c r="O170" s="38">
        <v>12950</v>
      </c>
      <c r="P170" s="50">
        <v>30</v>
      </c>
    </row>
    <row r="171" spans="12:16" ht="15.6" x14ac:dyDescent="0.3">
      <c r="L171" s="22" t="s">
        <v>7</v>
      </c>
      <c r="M171" s="22" t="s">
        <v>36</v>
      </c>
      <c r="N171" s="22" t="s">
        <v>18</v>
      </c>
      <c r="O171" s="38">
        <v>2646</v>
      </c>
      <c r="P171" s="50">
        <v>177</v>
      </c>
    </row>
    <row r="172" spans="12:16" ht="15.6" x14ac:dyDescent="0.3">
      <c r="L172" s="22" t="s">
        <v>40</v>
      </c>
      <c r="M172" s="22" t="s">
        <v>34</v>
      </c>
      <c r="N172" s="22" t="s">
        <v>33</v>
      </c>
      <c r="O172" s="38">
        <v>3794</v>
      </c>
      <c r="P172" s="50">
        <v>159</v>
      </c>
    </row>
    <row r="173" spans="12:16" ht="15.6" x14ac:dyDescent="0.3">
      <c r="L173" s="22" t="s">
        <v>3</v>
      </c>
      <c r="M173" s="22" t="s">
        <v>35</v>
      </c>
      <c r="N173" s="22" t="s">
        <v>33</v>
      </c>
      <c r="O173" s="38">
        <v>819</v>
      </c>
      <c r="P173" s="50">
        <v>306</v>
      </c>
    </row>
    <row r="174" spans="12:16" ht="15.6" x14ac:dyDescent="0.3">
      <c r="L174" s="22" t="s">
        <v>3</v>
      </c>
      <c r="M174" s="22" t="s">
        <v>34</v>
      </c>
      <c r="N174" s="22" t="s">
        <v>20</v>
      </c>
      <c r="O174" s="38">
        <v>2583</v>
      </c>
      <c r="P174" s="50">
        <v>18</v>
      </c>
    </row>
    <row r="175" spans="12:16" ht="15.6" x14ac:dyDescent="0.3">
      <c r="L175" s="22" t="s">
        <v>7</v>
      </c>
      <c r="M175" s="22" t="s">
        <v>35</v>
      </c>
      <c r="N175" s="22" t="s">
        <v>19</v>
      </c>
      <c r="O175" s="38">
        <v>4585</v>
      </c>
      <c r="P175" s="50">
        <v>240</v>
      </c>
    </row>
    <row r="176" spans="12:16" ht="15.6" x14ac:dyDescent="0.3">
      <c r="L176" s="22" t="s">
        <v>5</v>
      </c>
      <c r="M176" s="22" t="s">
        <v>34</v>
      </c>
      <c r="N176" s="22" t="s">
        <v>33</v>
      </c>
      <c r="O176" s="38">
        <v>1652</v>
      </c>
      <c r="P176" s="50">
        <v>93</v>
      </c>
    </row>
    <row r="177" spans="12:16" ht="15.6" x14ac:dyDescent="0.3">
      <c r="L177" s="22" t="s">
        <v>10</v>
      </c>
      <c r="M177" s="22" t="s">
        <v>34</v>
      </c>
      <c r="N177" s="22" t="s">
        <v>26</v>
      </c>
      <c r="O177" s="38">
        <v>4991</v>
      </c>
      <c r="P177" s="50">
        <v>9</v>
      </c>
    </row>
    <row r="178" spans="12:16" ht="15.6" x14ac:dyDescent="0.3">
      <c r="L178" s="22" t="s">
        <v>8</v>
      </c>
      <c r="M178" s="22" t="s">
        <v>34</v>
      </c>
      <c r="N178" s="22" t="s">
        <v>16</v>
      </c>
      <c r="O178" s="38">
        <v>2009</v>
      </c>
      <c r="P178" s="50">
        <v>219</v>
      </c>
    </row>
    <row r="179" spans="12:16" ht="15.6" x14ac:dyDescent="0.3">
      <c r="L179" s="22" t="s">
        <v>2</v>
      </c>
      <c r="M179" s="22" t="s">
        <v>39</v>
      </c>
      <c r="N179" s="22" t="s">
        <v>22</v>
      </c>
      <c r="O179" s="38">
        <v>1568</v>
      </c>
      <c r="P179" s="50">
        <v>141</v>
      </c>
    </row>
    <row r="180" spans="12:16" ht="15.6" x14ac:dyDescent="0.3">
      <c r="L180" s="22" t="s">
        <v>41</v>
      </c>
      <c r="M180" s="22" t="s">
        <v>37</v>
      </c>
      <c r="N180" s="22" t="s">
        <v>20</v>
      </c>
      <c r="O180" s="38">
        <v>3388</v>
      </c>
      <c r="P180" s="50">
        <v>123</v>
      </c>
    </row>
    <row r="181" spans="12:16" ht="15.6" x14ac:dyDescent="0.3">
      <c r="L181" s="22" t="s">
        <v>40</v>
      </c>
      <c r="M181" s="22" t="s">
        <v>38</v>
      </c>
      <c r="N181" s="22" t="s">
        <v>24</v>
      </c>
      <c r="O181" s="38">
        <v>623</v>
      </c>
      <c r="P181" s="50">
        <v>51</v>
      </c>
    </row>
    <row r="182" spans="12:16" ht="15.6" x14ac:dyDescent="0.3">
      <c r="L182" s="22" t="s">
        <v>6</v>
      </c>
      <c r="M182" s="22" t="s">
        <v>36</v>
      </c>
      <c r="N182" s="22" t="s">
        <v>4</v>
      </c>
      <c r="O182" s="38">
        <v>10073</v>
      </c>
      <c r="P182" s="50">
        <v>120</v>
      </c>
    </row>
    <row r="183" spans="12:16" ht="15.6" x14ac:dyDescent="0.3">
      <c r="L183" s="22" t="s">
        <v>8</v>
      </c>
      <c r="M183" s="22" t="s">
        <v>39</v>
      </c>
      <c r="N183" s="22" t="s">
        <v>26</v>
      </c>
      <c r="O183" s="38">
        <v>1561</v>
      </c>
      <c r="P183" s="50">
        <v>27</v>
      </c>
    </row>
    <row r="184" spans="12:16" ht="15.6" x14ac:dyDescent="0.3">
      <c r="L184" s="22" t="s">
        <v>9</v>
      </c>
      <c r="M184" s="22" t="s">
        <v>36</v>
      </c>
      <c r="N184" s="22" t="s">
        <v>27</v>
      </c>
      <c r="O184" s="38">
        <v>11522</v>
      </c>
      <c r="P184" s="50">
        <v>204</v>
      </c>
    </row>
    <row r="185" spans="12:16" ht="15.6" x14ac:dyDescent="0.3">
      <c r="L185" s="22" t="s">
        <v>6</v>
      </c>
      <c r="M185" s="22" t="s">
        <v>38</v>
      </c>
      <c r="N185" s="22" t="s">
        <v>13</v>
      </c>
      <c r="O185" s="38">
        <v>2317</v>
      </c>
      <c r="P185" s="50">
        <v>123</v>
      </c>
    </row>
    <row r="186" spans="12:16" ht="15.6" x14ac:dyDescent="0.3">
      <c r="L186" s="22" t="s">
        <v>10</v>
      </c>
      <c r="M186" s="22" t="s">
        <v>37</v>
      </c>
      <c r="N186" s="22" t="s">
        <v>28</v>
      </c>
      <c r="O186" s="38">
        <v>3059</v>
      </c>
      <c r="P186" s="50">
        <v>27</v>
      </c>
    </row>
    <row r="187" spans="12:16" ht="15.6" x14ac:dyDescent="0.3">
      <c r="L187" s="22" t="s">
        <v>41</v>
      </c>
      <c r="M187" s="22" t="s">
        <v>37</v>
      </c>
      <c r="N187" s="22" t="s">
        <v>26</v>
      </c>
      <c r="O187" s="38">
        <v>2324</v>
      </c>
      <c r="P187" s="50">
        <v>177</v>
      </c>
    </row>
    <row r="188" spans="12:16" ht="15.6" x14ac:dyDescent="0.3">
      <c r="L188" s="22" t="s">
        <v>3</v>
      </c>
      <c r="M188" s="22" t="s">
        <v>39</v>
      </c>
      <c r="N188" s="22" t="s">
        <v>26</v>
      </c>
      <c r="O188" s="38">
        <v>4956</v>
      </c>
      <c r="P188" s="50">
        <v>171</v>
      </c>
    </row>
    <row r="189" spans="12:16" ht="15.6" x14ac:dyDescent="0.3">
      <c r="L189" s="22" t="s">
        <v>10</v>
      </c>
      <c r="M189" s="22" t="s">
        <v>34</v>
      </c>
      <c r="N189" s="22" t="s">
        <v>19</v>
      </c>
      <c r="O189" s="38">
        <v>5355</v>
      </c>
      <c r="P189" s="50">
        <v>204</v>
      </c>
    </row>
    <row r="190" spans="12:16" ht="15.6" x14ac:dyDescent="0.3">
      <c r="L190" s="22" t="s">
        <v>3</v>
      </c>
      <c r="M190" s="22" t="s">
        <v>34</v>
      </c>
      <c r="N190" s="22" t="s">
        <v>14</v>
      </c>
      <c r="O190" s="38">
        <v>7259</v>
      </c>
      <c r="P190" s="50">
        <v>276</v>
      </c>
    </row>
    <row r="191" spans="12:16" ht="15.6" x14ac:dyDescent="0.3">
      <c r="L191" s="22" t="s">
        <v>8</v>
      </c>
      <c r="M191" s="22" t="s">
        <v>37</v>
      </c>
      <c r="N191" s="22" t="s">
        <v>26</v>
      </c>
      <c r="O191" s="38">
        <v>6279</v>
      </c>
      <c r="P191" s="50">
        <v>45</v>
      </c>
    </row>
    <row r="192" spans="12:16" ht="15.6" x14ac:dyDescent="0.3">
      <c r="L192" s="22" t="s">
        <v>40</v>
      </c>
      <c r="M192" s="22" t="s">
        <v>38</v>
      </c>
      <c r="N192" s="22" t="s">
        <v>29</v>
      </c>
      <c r="O192" s="38">
        <v>2541</v>
      </c>
      <c r="P192" s="50">
        <v>45</v>
      </c>
    </row>
    <row r="193" spans="12:16" ht="15.6" x14ac:dyDescent="0.3">
      <c r="L193" s="22" t="s">
        <v>6</v>
      </c>
      <c r="M193" s="22" t="s">
        <v>35</v>
      </c>
      <c r="N193" s="22" t="s">
        <v>27</v>
      </c>
      <c r="O193" s="38">
        <v>3864</v>
      </c>
      <c r="P193" s="50">
        <v>177</v>
      </c>
    </row>
    <row r="194" spans="12:16" ht="15.6" x14ac:dyDescent="0.3">
      <c r="L194" s="22" t="s">
        <v>5</v>
      </c>
      <c r="M194" s="22" t="s">
        <v>36</v>
      </c>
      <c r="N194" s="22" t="s">
        <v>13</v>
      </c>
      <c r="O194" s="38">
        <v>6146</v>
      </c>
      <c r="P194" s="50">
        <v>63</v>
      </c>
    </row>
    <row r="195" spans="12:16" ht="15.6" x14ac:dyDescent="0.3">
      <c r="L195" s="22" t="s">
        <v>9</v>
      </c>
      <c r="M195" s="22" t="s">
        <v>39</v>
      </c>
      <c r="N195" s="22" t="s">
        <v>18</v>
      </c>
      <c r="O195" s="38">
        <v>2639</v>
      </c>
      <c r="P195" s="50">
        <v>204</v>
      </c>
    </row>
    <row r="196" spans="12:16" ht="15.6" x14ac:dyDescent="0.3">
      <c r="L196" s="22" t="s">
        <v>8</v>
      </c>
      <c r="M196" s="22" t="s">
        <v>37</v>
      </c>
      <c r="N196" s="22" t="s">
        <v>22</v>
      </c>
      <c r="O196" s="38">
        <v>1890</v>
      </c>
      <c r="P196" s="50">
        <v>195</v>
      </c>
    </row>
    <row r="197" spans="12:16" ht="15.6" x14ac:dyDescent="0.3">
      <c r="L197" s="22" t="s">
        <v>7</v>
      </c>
      <c r="M197" s="22" t="s">
        <v>34</v>
      </c>
      <c r="N197" s="22" t="s">
        <v>14</v>
      </c>
      <c r="O197" s="38">
        <v>1932</v>
      </c>
      <c r="P197" s="50">
        <v>369</v>
      </c>
    </row>
    <row r="198" spans="12:16" ht="15.6" x14ac:dyDescent="0.3">
      <c r="L198" s="22" t="s">
        <v>3</v>
      </c>
      <c r="M198" s="22" t="s">
        <v>34</v>
      </c>
      <c r="N198" s="22" t="s">
        <v>25</v>
      </c>
      <c r="O198" s="38">
        <v>6300</v>
      </c>
      <c r="P198" s="50">
        <v>42</v>
      </c>
    </row>
    <row r="199" spans="12:16" ht="15.6" x14ac:dyDescent="0.3">
      <c r="L199" s="22" t="s">
        <v>6</v>
      </c>
      <c r="M199" s="22" t="s">
        <v>37</v>
      </c>
      <c r="N199" s="22" t="s">
        <v>30</v>
      </c>
      <c r="O199" s="38">
        <v>560</v>
      </c>
      <c r="P199" s="50">
        <v>81</v>
      </c>
    </row>
    <row r="200" spans="12:16" ht="15.6" x14ac:dyDescent="0.3">
      <c r="L200" s="22" t="s">
        <v>9</v>
      </c>
      <c r="M200" s="22" t="s">
        <v>37</v>
      </c>
      <c r="N200" s="22" t="s">
        <v>26</v>
      </c>
      <c r="O200" s="38">
        <v>2856</v>
      </c>
      <c r="P200" s="50">
        <v>246</v>
      </c>
    </row>
    <row r="201" spans="12:16" ht="15.6" x14ac:dyDescent="0.3">
      <c r="L201" s="22" t="s">
        <v>9</v>
      </c>
      <c r="M201" s="22" t="s">
        <v>34</v>
      </c>
      <c r="N201" s="22" t="s">
        <v>17</v>
      </c>
      <c r="O201" s="38">
        <v>707</v>
      </c>
      <c r="P201" s="50">
        <v>174</v>
      </c>
    </row>
    <row r="202" spans="12:16" ht="15.6" x14ac:dyDescent="0.3">
      <c r="L202" s="22" t="s">
        <v>8</v>
      </c>
      <c r="M202" s="22" t="s">
        <v>35</v>
      </c>
      <c r="N202" s="22" t="s">
        <v>30</v>
      </c>
      <c r="O202" s="38">
        <v>3598</v>
      </c>
      <c r="P202" s="50">
        <v>81</v>
      </c>
    </row>
    <row r="203" spans="12:16" ht="15.6" x14ac:dyDescent="0.3">
      <c r="L203" s="22" t="s">
        <v>40</v>
      </c>
      <c r="M203" s="22" t="s">
        <v>35</v>
      </c>
      <c r="N203" s="22" t="s">
        <v>22</v>
      </c>
      <c r="O203" s="38">
        <v>6853</v>
      </c>
      <c r="P203" s="50">
        <v>372</v>
      </c>
    </row>
    <row r="204" spans="12:16" ht="15.6" x14ac:dyDescent="0.3">
      <c r="L204" s="22" t="s">
        <v>40</v>
      </c>
      <c r="M204" s="22" t="s">
        <v>35</v>
      </c>
      <c r="N204" s="22" t="s">
        <v>16</v>
      </c>
      <c r="O204" s="38">
        <v>4725</v>
      </c>
      <c r="P204" s="50">
        <v>174</v>
      </c>
    </row>
    <row r="205" spans="12:16" ht="15.6" x14ac:dyDescent="0.3">
      <c r="L205" s="22" t="s">
        <v>41</v>
      </c>
      <c r="M205" s="22" t="s">
        <v>36</v>
      </c>
      <c r="N205" s="22" t="s">
        <v>32</v>
      </c>
      <c r="O205" s="38">
        <v>10304</v>
      </c>
      <c r="P205" s="50">
        <v>84</v>
      </c>
    </row>
    <row r="206" spans="12:16" ht="15.6" x14ac:dyDescent="0.3">
      <c r="L206" s="22" t="s">
        <v>41</v>
      </c>
      <c r="M206" s="22" t="s">
        <v>34</v>
      </c>
      <c r="N206" s="22" t="s">
        <v>16</v>
      </c>
      <c r="O206" s="38">
        <v>1274</v>
      </c>
      <c r="P206" s="50">
        <v>225</v>
      </c>
    </row>
    <row r="207" spans="12:16" ht="15.6" x14ac:dyDescent="0.3">
      <c r="L207" s="22" t="s">
        <v>5</v>
      </c>
      <c r="M207" s="22" t="s">
        <v>36</v>
      </c>
      <c r="N207" s="22" t="s">
        <v>30</v>
      </c>
      <c r="O207" s="38">
        <v>1526</v>
      </c>
      <c r="P207" s="50">
        <v>105</v>
      </c>
    </row>
    <row r="208" spans="12:16" ht="15.6" x14ac:dyDescent="0.3">
      <c r="L208" s="22" t="s">
        <v>40</v>
      </c>
      <c r="M208" s="22" t="s">
        <v>39</v>
      </c>
      <c r="N208" s="22" t="s">
        <v>28</v>
      </c>
      <c r="O208" s="38">
        <v>3101</v>
      </c>
      <c r="P208" s="50">
        <v>225</v>
      </c>
    </row>
    <row r="209" spans="12:16" ht="15.6" x14ac:dyDescent="0.3">
      <c r="L209" s="22" t="s">
        <v>2</v>
      </c>
      <c r="M209" s="22" t="s">
        <v>37</v>
      </c>
      <c r="N209" s="22" t="s">
        <v>14</v>
      </c>
      <c r="O209" s="38">
        <v>1057</v>
      </c>
      <c r="P209" s="50">
        <v>54</v>
      </c>
    </row>
    <row r="210" spans="12:16" ht="15.6" x14ac:dyDescent="0.3">
      <c r="L210" s="22" t="s">
        <v>7</v>
      </c>
      <c r="M210" s="22" t="s">
        <v>37</v>
      </c>
      <c r="N210" s="22" t="s">
        <v>26</v>
      </c>
      <c r="O210" s="38">
        <v>5306</v>
      </c>
      <c r="P210" s="50">
        <v>0</v>
      </c>
    </row>
    <row r="211" spans="12:16" ht="15.6" x14ac:dyDescent="0.3">
      <c r="L211" s="22" t="s">
        <v>5</v>
      </c>
      <c r="M211" s="22" t="s">
        <v>39</v>
      </c>
      <c r="N211" s="22" t="s">
        <v>24</v>
      </c>
      <c r="O211" s="38">
        <v>4018</v>
      </c>
      <c r="P211" s="50">
        <v>171</v>
      </c>
    </row>
    <row r="212" spans="12:16" ht="15.6" x14ac:dyDescent="0.3">
      <c r="L212" s="22" t="s">
        <v>9</v>
      </c>
      <c r="M212" s="22" t="s">
        <v>34</v>
      </c>
      <c r="N212" s="22" t="s">
        <v>16</v>
      </c>
      <c r="O212" s="38">
        <v>938</v>
      </c>
      <c r="P212" s="50">
        <v>189</v>
      </c>
    </row>
    <row r="213" spans="12:16" ht="15.6" x14ac:dyDescent="0.3">
      <c r="L213" s="22" t="s">
        <v>7</v>
      </c>
      <c r="M213" s="22" t="s">
        <v>38</v>
      </c>
      <c r="N213" s="22" t="s">
        <v>18</v>
      </c>
      <c r="O213" s="38">
        <v>1778</v>
      </c>
      <c r="P213" s="50">
        <v>270</v>
      </c>
    </row>
    <row r="214" spans="12:16" ht="15.6" x14ac:dyDescent="0.3">
      <c r="L214" s="22" t="s">
        <v>6</v>
      </c>
      <c r="M214" s="22" t="s">
        <v>39</v>
      </c>
      <c r="N214" s="22" t="s">
        <v>30</v>
      </c>
      <c r="O214" s="38">
        <v>1638</v>
      </c>
      <c r="P214" s="50">
        <v>63</v>
      </c>
    </row>
    <row r="215" spans="12:16" ht="15.6" x14ac:dyDescent="0.3">
      <c r="L215" s="22" t="s">
        <v>41</v>
      </c>
      <c r="M215" s="22" t="s">
        <v>38</v>
      </c>
      <c r="N215" s="22" t="s">
        <v>25</v>
      </c>
      <c r="O215" s="38">
        <v>154</v>
      </c>
      <c r="P215" s="50">
        <v>21</v>
      </c>
    </row>
    <row r="216" spans="12:16" ht="15.6" x14ac:dyDescent="0.3">
      <c r="L216" s="22" t="s">
        <v>7</v>
      </c>
      <c r="M216" s="22" t="s">
        <v>37</v>
      </c>
      <c r="N216" s="22" t="s">
        <v>22</v>
      </c>
      <c r="O216" s="38">
        <v>9835</v>
      </c>
      <c r="P216" s="50">
        <v>207</v>
      </c>
    </row>
    <row r="217" spans="12:16" ht="15.6" x14ac:dyDescent="0.3">
      <c r="L217" s="22" t="s">
        <v>9</v>
      </c>
      <c r="M217" s="22" t="s">
        <v>37</v>
      </c>
      <c r="N217" s="22" t="s">
        <v>20</v>
      </c>
      <c r="O217" s="38">
        <v>7273</v>
      </c>
      <c r="P217" s="50">
        <v>96</v>
      </c>
    </row>
    <row r="218" spans="12:16" ht="15.6" x14ac:dyDescent="0.3">
      <c r="L218" s="22" t="s">
        <v>5</v>
      </c>
      <c r="M218" s="22" t="s">
        <v>39</v>
      </c>
      <c r="N218" s="22" t="s">
        <v>22</v>
      </c>
      <c r="O218" s="38">
        <v>6909</v>
      </c>
      <c r="P218" s="50">
        <v>81</v>
      </c>
    </row>
    <row r="219" spans="12:16" ht="15.6" x14ac:dyDescent="0.3">
      <c r="L219" s="22" t="s">
        <v>9</v>
      </c>
      <c r="M219" s="22" t="s">
        <v>39</v>
      </c>
      <c r="N219" s="22" t="s">
        <v>24</v>
      </c>
      <c r="O219" s="38">
        <v>3920</v>
      </c>
      <c r="P219" s="50">
        <v>306</v>
      </c>
    </row>
    <row r="220" spans="12:16" ht="15.6" x14ac:dyDescent="0.3">
      <c r="L220" s="22" t="s">
        <v>10</v>
      </c>
      <c r="M220" s="22" t="s">
        <v>39</v>
      </c>
      <c r="N220" s="22" t="s">
        <v>21</v>
      </c>
      <c r="O220" s="38">
        <v>4858</v>
      </c>
      <c r="P220" s="50">
        <v>279</v>
      </c>
    </row>
    <row r="221" spans="12:16" ht="15.6" x14ac:dyDescent="0.3">
      <c r="L221" s="22" t="s">
        <v>2</v>
      </c>
      <c r="M221" s="22" t="s">
        <v>38</v>
      </c>
      <c r="N221" s="22" t="s">
        <v>4</v>
      </c>
      <c r="O221" s="38">
        <v>3549</v>
      </c>
      <c r="P221" s="50">
        <v>3</v>
      </c>
    </row>
    <row r="222" spans="12:16" ht="15.6" x14ac:dyDescent="0.3">
      <c r="L222" s="22" t="s">
        <v>7</v>
      </c>
      <c r="M222" s="22" t="s">
        <v>39</v>
      </c>
      <c r="N222" s="22" t="s">
        <v>27</v>
      </c>
      <c r="O222" s="38">
        <v>966</v>
      </c>
      <c r="P222" s="50">
        <v>198</v>
      </c>
    </row>
    <row r="223" spans="12:16" ht="15.6" x14ac:dyDescent="0.3">
      <c r="L223" s="22" t="s">
        <v>5</v>
      </c>
      <c r="M223" s="22" t="s">
        <v>39</v>
      </c>
      <c r="N223" s="22" t="s">
        <v>18</v>
      </c>
      <c r="O223" s="38">
        <v>385</v>
      </c>
      <c r="P223" s="50">
        <v>249</v>
      </c>
    </row>
    <row r="224" spans="12:16" ht="15.6" x14ac:dyDescent="0.3">
      <c r="L224" s="22" t="s">
        <v>6</v>
      </c>
      <c r="M224" s="22" t="s">
        <v>34</v>
      </c>
      <c r="N224" s="22" t="s">
        <v>16</v>
      </c>
      <c r="O224" s="38">
        <v>2219</v>
      </c>
      <c r="P224" s="50">
        <v>75</v>
      </c>
    </row>
    <row r="225" spans="12:16" ht="15.6" x14ac:dyDescent="0.3">
      <c r="L225" s="22" t="s">
        <v>9</v>
      </c>
      <c r="M225" s="22" t="s">
        <v>36</v>
      </c>
      <c r="N225" s="22" t="s">
        <v>32</v>
      </c>
      <c r="O225" s="38">
        <v>2954</v>
      </c>
      <c r="P225" s="50">
        <v>189</v>
      </c>
    </row>
    <row r="226" spans="12:16" ht="15.6" x14ac:dyDescent="0.3">
      <c r="L226" s="22" t="s">
        <v>7</v>
      </c>
      <c r="M226" s="22" t="s">
        <v>36</v>
      </c>
      <c r="N226" s="22" t="s">
        <v>32</v>
      </c>
      <c r="O226" s="38">
        <v>280</v>
      </c>
      <c r="P226" s="50">
        <v>87</v>
      </c>
    </row>
    <row r="227" spans="12:16" ht="15.6" x14ac:dyDescent="0.3">
      <c r="L227" s="22" t="s">
        <v>41</v>
      </c>
      <c r="M227" s="22" t="s">
        <v>36</v>
      </c>
      <c r="N227" s="22" t="s">
        <v>30</v>
      </c>
      <c r="O227" s="38">
        <v>6118</v>
      </c>
      <c r="P227" s="50">
        <v>174</v>
      </c>
    </row>
    <row r="228" spans="12:16" ht="15.6" x14ac:dyDescent="0.3">
      <c r="L228" s="22" t="s">
        <v>2</v>
      </c>
      <c r="M228" s="22" t="s">
        <v>39</v>
      </c>
      <c r="N228" s="22" t="s">
        <v>15</v>
      </c>
      <c r="O228" s="38">
        <v>4802</v>
      </c>
      <c r="P228" s="50">
        <v>36</v>
      </c>
    </row>
    <row r="229" spans="12:16" ht="15.6" x14ac:dyDescent="0.3">
      <c r="L229" s="22" t="s">
        <v>9</v>
      </c>
      <c r="M229" s="22" t="s">
        <v>38</v>
      </c>
      <c r="N229" s="22" t="s">
        <v>24</v>
      </c>
      <c r="O229" s="38">
        <v>4137</v>
      </c>
      <c r="P229" s="50">
        <v>60</v>
      </c>
    </row>
    <row r="230" spans="12:16" ht="15.6" x14ac:dyDescent="0.3">
      <c r="L230" s="22" t="s">
        <v>3</v>
      </c>
      <c r="M230" s="22" t="s">
        <v>35</v>
      </c>
      <c r="N230" s="22" t="s">
        <v>23</v>
      </c>
      <c r="O230" s="38">
        <v>2023</v>
      </c>
      <c r="P230" s="50">
        <v>78</v>
      </c>
    </row>
    <row r="231" spans="12:16" ht="15.6" x14ac:dyDescent="0.3">
      <c r="L231" s="22" t="s">
        <v>9</v>
      </c>
      <c r="M231" s="22" t="s">
        <v>36</v>
      </c>
      <c r="N231" s="22" t="s">
        <v>30</v>
      </c>
      <c r="O231" s="38">
        <v>9051</v>
      </c>
      <c r="P231" s="50">
        <v>57</v>
      </c>
    </row>
    <row r="232" spans="12:16" ht="15.6" x14ac:dyDescent="0.3">
      <c r="L232" s="22" t="s">
        <v>9</v>
      </c>
      <c r="M232" s="22" t="s">
        <v>37</v>
      </c>
      <c r="N232" s="22" t="s">
        <v>28</v>
      </c>
      <c r="O232" s="38">
        <v>2919</v>
      </c>
      <c r="P232" s="50">
        <v>45</v>
      </c>
    </row>
    <row r="233" spans="12:16" ht="15.6" x14ac:dyDescent="0.3">
      <c r="L233" s="22" t="s">
        <v>41</v>
      </c>
      <c r="M233" s="22" t="s">
        <v>38</v>
      </c>
      <c r="N233" s="22" t="s">
        <v>22</v>
      </c>
      <c r="O233" s="38">
        <v>5915</v>
      </c>
      <c r="P233" s="50">
        <v>3</v>
      </c>
    </row>
    <row r="234" spans="12:16" ht="15.6" x14ac:dyDescent="0.3">
      <c r="L234" s="22" t="s">
        <v>10</v>
      </c>
      <c r="M234" s="22" t="s">
        <v>35</v>
      </c>
      <c r="N234" s="22" t="s">
        <v>15</v>
      </c>
      <c r="O234" s="38">
        <v>2562</v>
      </c>
      <c r="P234" s="50">
        <v>6</v>
      </c>
    </row>
    <row r="235" spans="12:16" ht="15.6" x14ac:dyDescent="0.3">
      <c r="L235" s="22" t="s">
        <v>5</v>
      </c>
      <c r="M235" s="22" t="s">
        <v>37</v>
      </c>
      <c r="N235" s="22" t="s">
        <v>25</v>
      </c>
      <c r="O235" s="38">
        <v>8813</v>
      </c>
      <c r="P235" s="50">
        <v>21</v>
      </c>
    </row>
    <row r="236" spans="12:16" ht="15.6" x14ac:dyDescent="0.3">
      <c r="L236" s="22" t="s">
        <v>5</v>
      </c>
      <c r="M236" s="22" t="s">
        <v>36</v>
      </c>
      <c r="N236" s="22" t="s">
        <v>18</v>
      </c>
      <c r="O236" s="38">
        <v>6111</v>
      </c>
      <c r="P236" s="50">
        <v>3</v>
      </c>
    </row>
    <row r="237" spans="12:16" ht="15.6" x14ac:dyDescent="0.3">
      <c r="L237" s="22" t="s">
        <v>8</v>
      </c>
      <c r="M237" s="22" t="s">
        <v>34</v>
      </c>
      <c r="N237" s="22" t="s">
        <v>31</v>
      </c>
      <c r="O237" s="38">
        <v>3507</v>
      </c>
      <c r="P237" s="50">
        <v>288</v>
      </c>
    </row>
    <row r="238" spans="12:16" ht="15.6" x14ac:dyDescent="0.3">
      <c r="L238" s="22" t="s">
        <v>6</v>
      </c>
      <c r="M238" s="22" t="s">
        <v>36</v>
      </c>
      <c r="N238" s="22" t="s">
        <v>13</v>
      </c>
      <c r="O238" s="38">
        <v>4319</v>
      </c>
      <c r="P238" s="50">
        <v>30</v>
      </c>
    </row>
    <row r="239" spans="12:16" ht="15.6" x14ac:dyDescent="0.3">
      <c r="L239" s="22" t="s">
        <v>40</v>
      </c>
      <c r="M239" s="22" t="s">
        <v>38</v>
      </c>
      <c r="N239" s="22" t="s">
        <v>26</v>
      </c>
      <c r="O239" s="38">
        <v>609</v>
      </c>
      <c r="P239" s="50">
        <v>87</v>
      </c>
    </row>
    <row r="240" spans="12:16" ht="15.6" x14ac:dyDescent="0.3">
      <c r="L240" s="22" t="s">
        <v>40</v>
      </c>
      <c r="M240" s="22" t="s">
        <v>39</v>
      </c>
      <c r="N240" s="22" t="s">
        <v>27</v>
      </c>
      <c r="O240" s="38">
        <v>6370</v>
      </c>
      <c r="P240" s="50">
        <v>30</v>
      </c>
    </row>
    <row r="241" spans="12:16" ht="15.6" x14ac:dyDescent="0.3">
      <c r="L241" s="22" t="s">
        <v>5</v>
      </c>
      <c r="M241" s="22" t="s">
        <v>38</v>
      </c>
      <c r="N241" s="22" t="s">
        <v>19</v>
      </c>
      <c r="O241" s="38">
        <v>5474</v>
      </c>
      <c r="P241" s="50">
        <v>168</v>
      </c>
    </row>
    <row r="242" spans="12:16" ht="15.6" x14ac:dyDescent="0.3">
      <c r="L242" s="22" t="s">
        <v>40</v>
      </c>
      <c r="M242" s="22" t="s">
        <v>36</v>
      </c>
      <c r="N242" s="22" t="s">
        <v>27</v>
      </c>
      <c r="O242" s="38">
        <v>3164</v>
      </c>
      <c r="P242" s="50">
        <v>306</v>
      </c>
    </row>
    <row r="243" spans="12:16" ht="15.6" x14ac:dyDescent="0.3">
      <c r="L243" s="22" t="s">
        <v>6</v>
      </c>
      <c r="M243" s="22" t="s">
        <v>35</v>
      </c>
      <c r="N243" s="22" t="s">
        <v>4</v>
      </c>
      <c r="O243" s="38">
        <v>1302</v>
      </c>
      <c r="P243" s="50">
        <v>402</v>
      </c>
    </row>
    <row r="244" spans="12:16" ht="15.6" x14ac:dyDescent="0.3">
      <c r="L244" s="22" t="s">
        <v>3</v>
      </c>
      <c r="M244" s="22" t="s">
        <v>37</v>
      </c>
      <c r="N244" s="22" t="s">
        <v>28</v>
      </c>
      <c r="O244" s="38">
        <v>7308</v>
      </c>
      <c r="P244" s="50">
        <v>327</v>
      </c>
    </row>
    <row r="245" spans="12:16" ht="15.6" x14ac:dyDescent="0.3">
      <c r="L245" s="22" t="s">
        <v>40</v>
      </c>
      <c r="M245" s="22" t="s">
        <v>37</v>
      </c>
      <c r="N245" s="22" t="s">
        <v>27</v>
      </c>
      <c r="O245" s="38">
        <v>6132</v>
      </c>
      <c r="P245" s="50">
        <v>93</v>
      </c>
    </row>
    <row r="246" spans="12:16" ht="15.6" x14ac:dyDescent="0.3">
      <c r="L246" s="22" t="s">
        <v>10</v>
      </c>
      <c r="M246" s="22" t="s">
        <v>35</v>
      </c>
      <c r="N246" s="22" t="s">
        <v>14</v>
      </c>
      <c r="O246" s="38">
        <v>3472</v>
      </c>
      <c r="P246" s="50">
        <v>96</v>
      </c>
    </row>
    <row r="247" spans="12:16" ht="15.6" x14ac:dyDescent="0.3">
      <c r="L247" s="22" t="s">
        <v>8</v>
      </c>
      <c r="M247" s="22" t="s">
        <v>39</v>
      </c>
      <c r="N247" s="22" t="s">
        <v>18</v>
      </c>
      <c r="O247" s="38">
        <v>9660</v>
      </c>
      <c r="P247" s="50">
        <v>27</v>
      </c>
    </row>
    <row r="248" spans="12:16" ht="15.6" x14ac:dyDescent="0.3">
      <c r="L248" s="22" t="s">
        <v>9</v>
      </c>
      <c r="M248" s="22" t="s">
        <v>38</v>
      </c>
      <c r="N248" s="22" t="s">
        <v>26</v>
      </c>
      <c r="O248" s="38">
        <v>2436</v>
      </c>
      <c r="P248" s="50">
        <v>99</v>
      </c>
    </row>
    <row r="249" spans="12:16" ht="15.6" x14ac:dyDescent="0.3">
      <c r="L249" s="22" t="s">
        <v>9</v>
      </c>
      <c r="M249" s="22" t="s">
        <v>38</v>
      </c>
      <c r="N249" s="22" t="s">
        <v>33</v>
      </c>
      <c r="O249" s="38">
        <v>9506</v>
      </c>
      <c r="P249" s="50">
        <v>87</v>
      </c>
    </row>
    <row r="250" spans="12:16" ht="15.6" x14ac:dyDescent="0.3">
      <c r="L250" s="22" t="s">
        <v>10</v>
      </c>
      <c r="M250" s="22" t="s">
        <v>37</v>
      </c>
      <c r="N250" s="22" t="s">
        <v>21</v>
      </c>
      <c r="O250" s="38">
        <v>245</v>
      </c>
      <c r="P250" s="50">
        <v>288</v>
      </c>
    </row>
    <row r="251" spans="12:16" ht="15.6" x14ac:dyDescent="0.3">
      <c r="L251" s="22" t="s">
        <v>8</v>
      </c>
      <c r="M251" s="22" t="s">
        <v>35</v>
      </c>
      <c r="N251" s="22" t="s">
        <v>20</v>
      </c>
      <c r="O251" s="38">
        <v>2702</v>
      </c>
      <c r="P251" s="50">
        <v>363</v>
      </c>
    </row>
    <row r="252" spans="12:16" ht="15.6" x14ac:dyDescent="0.3">
      <c r="L252" s="22" t="s">
        <v>10</v>
      </c>
      <c r="M252" s="22" t="s">
        <v>34</v>
      </c>
      <c r="N252" s="22" t="s">
        <v>17</v>
      </c>
      <c r="O252" s="38">
        <v>700</v>
      </c>
      <c r="P252" s="50">
        <v>87</v>
      </c>
    </row>
    <row r="253" spans="12:16" ht="15.6" x14ac:dyDescent="0.3">
      <c r="L253" s="22" t="s">
        <v>6</v>
      </c>
      <c r="M253" s="22" t="s">
        <v>34</v>
      </c>
      <c r="N253" s="22" t="s">
        <v>17</v>
      </c>
      <c r="O253" s="38">
        <v>3759</v>
      </c>
      <c r="P253" s="50">
        <v>150</v>
      </c>
    </row>
    <row r="254" spans="12:16" ht="15.6" x14ac:dyDescent="0.3">
      <c r="L254" s="22" t="s">
        <v>2</v>
      </c>
      <c r="M254" s="22" t="s">
        <v>35</v>
      </c>
      <c r="N254" s="22" t="s">
        <v>17</v>
      </c>
      <c r="O254" s="38">
        <v>1589</v>
      </c>
      <c r="P254" s="50">
        <v>303</v>
      </c>
    </row>
    <row r="255" spans="12:16" ht="15.6" x14ac:dyDescent="0.3">
      <c r="L255" s="22" t="s">
        <v>7</v>
      </c>
      <c r="M255" s="22" t="s">
        <v>35</v>
      </c>
      <c r="N255" s="22" t="s">
        <v>28</v>
      </c>
      <c r="O255" s="38">
        <v>5194</v>
      </c>
      <c r="P255" s="50">
        <v>288</v>
      </c>
    </row>
    <row r="256" spans="12:16" ht="15.6" x14ac:dyDescent="0.3">
      <c r="L256" s="22" t="s">
        <v>10</v>
      </c>
      <c r="M256" s="22" t="s">
        <v>36</v>
      </c>
      <c r="N256" s="22" t="s">
        <v>13</v>
      </c>
      <c r="O256" s="38">
        <v>945</v>
      </c>
      <c r="P256" s="50">
        <v>75</v>
      </c>
    </row>
    <row r="257" spans="12:16" ht="15.6" x14ac:dyDescent="0.3">
      <c r="L257" s="22" t="s">
        <v>40</v>
      </c>
      <c r="M257" s="22" t="s">
        <v>38</v>
      </c>
      <c r="N257" s="22" t="s">
        <v>31</v>
      </c>
      <c r="O257" s="38">
        <v>1988</v>
      </c>
      <c r="P257" s="50">
        <v>39</v>
      </c>
    </row>
    <row r="258" spans="12:16" ht="15.6" x14ac:dyDescent="0.3">
      <c r="L258" s="22" t="s">
        <v>6</v>
      </c>
      <c r="M258" s="22" t="s">
        <v>34</v>
      </c>
      <c r="N258" s="22" t="s">
        <v>32</v>
      </c>
      <c r="O258" s="38">
        <v>6734</v>
      </c>
      <c r="P258" s="50">
        <v>123</v>
      </c>
    </row>
    <row r="259" spans="12:16" ht="15.6" x14ac:dyDescent="0.3">
      <c r="L259" s="22" t="s">
        <v>40</v>
      </c>
      <c r="M259" s="22" t="s">
        <v>36</v>
      </c>
      <c r="N259" s="22" t="s">
        <v>4</v>
      </c>
      <c r="O259" s="38">
        <v>217</v>
      </c>
      <c r="P259" s="50">
        <v>36</v>
      </c>
    </row>
    <row r="260" spans="12:16" ht="15.6" x14ac:dyDescent="0.3">
      <c r="L260" s="22" t="s">
        <v>5</v>
      </c>
      <c r="M260" s="22" t="s">
        <v>34</v>
      </c>
      <c r="N260" s="22" t="s">
        <v>22</v>
      </c>
      <c r="O260" s="38">
        <v>6279</v>
      </c>
      <c r="P260" s="50">
        <v>237</v>
      </c>
    </row>
    <row r="261" spans="12:16" ht="15.6" x14ac:dyDescent="0.3">
      <c r="L261" s="22" t="s">
        <v>40</v>
      </c>
      <c r="M261" s="22" t="s">
        <v>36</v>
      </c>
      <c r="N261" s="22" t="s">
        <v>13</v>
      </c>
      <c r="O261" s="38">
        <v>4424</v>
      </c>
      <c r="P261" s="50">
        <v>201</v>
      </c>
    </row>
    <row r="262" spans="12:16" ht="15.6" x14ac:dyDescent="0.3">
      <c r="L262" s="22" t="s">
        <v>2</v>
      </c>
      <c r="M262" s="22" t="s">
        <v>36</v>
      </c>
      <c r="N262" s="22" t="s">
        <v>17</v>
      </c>
      <c r="O262" s="38">
        <v>189</v>
      </c>
      <c r="P262" s="50">
        <v>48</v>
      </c>
    </row>
    <row r="263" spans="12:16" ht="15.6" x14ac:dyDescent="0.3">
      <c r="L263" s="22" t="s">
        <v>5</v>
      </c>
      <c r="M263" s="22" t="s">
        <v>35</v>
      </c>
      <c r="N263" s="22" t="s">
        <v>22</v>
      </c>
      <c r="O263" s="38">
        <v>490</v>
      </c>
      <c r="P263" s="50">
        <v>84</v>
      </c>
    </row>
    <row r="264" spans="12:16" ht="15.6" x14ac:dyDescent="0.3">
      <c r="L264" s="22" t="s">
        <v>8</v>
      </c>
      <c r="M264" s="22" t="s">
        <v>37</v>
      </c>
      <c r="N264" s="22" t="s">
        <v>21</v>
      </c>
      <c r="O264" s="38">
        <v>434</v>
      </c>
      <c r="P264" s="50">
        <v>87</v>
      </c>
    </row>
    <row r="265" spans="12:16" ht="15.6" x14ac:dyDescent="0.3">
      <c r="L265" s="22" t="s">
        <v>7</v>
      </c>
      <c r="M265" s="22" t="s">
        <v>38</v>
      </c>
      <c r="N265" s="22" t="s">
        <v>30</v>
      </c>
      <c r="O265" s="38">
        <v>10129</v>
      </c>
      <c r="P265" s="50">
        <v>312</v>
      </c>
    </row>
    <row r="266" spans="12:16" ht="15.6" x14ac:dyDescent="0.3">
      <c r="L266" s="22" t="s">
        <v>3</v>
      </c>
      <c r="M266" s="22" t="s">
        <v>39</v>
      </c>
      <c r="N266" s="22" t="s">
        <v>28</v>
      </c>
      <c r="O266" s="38">
        <v>1652</v>
      </c>
      <c r="P266" s="50">
        <v>102</v>
      </c>
    </row>
    <row r="267" spans="12:16" ht="15.6" x14ac:dyDescent="0.3">
      <c r="L267" s="22" t="s">
        <v>8</v>
      </c>
      <c r="M267" s="22" t="s">
        <v>38</v>
      </c>
      <c r="N267" s="22" t="s">
        <v>21</v>
      </c>
      <c r="O267" s="38">
        <v>6433</v>
      </c>
      <c r="P267" s="50">
        <v>78</v>
      </c>
    </row>
    <row r="268" spans="12:16" ht="15.6" x14ac:dyDescent="0.3">
      <c r="L268" s="22" t="s">
        <v>3</v>
      </c>
      <c r="M268" s="22" t="s">
        <v>34</v>
      </c>
      <c r="N268" s="22" t="s">
        <v>23</v>
      </c>
      <c r="O268" s="38">
        <v>2212</v>
      </c>
      <c r="P268" s="50">
        <v>117</v>
      </c>
    </row>
    <row r="269" spans="12:16" ht="15.6" x14ac:dyDescent="0.3">
      <c r="L269" s="22" t="s">
        <v>41</v>
      </c>
      <c r="M269" s="22" t="s">
        <v>35</v>
      </c>
      <c r="N269" s="22" t="s">
        <v>19</v>
      </c>
      <c r="O269" s="38">
        <v>609</v>
      </c>
      <c r="P269" s="50">
        <v>99</v>
      </c>
    </row>
    <row r="270" spans="12:16" ht="15.6" x14ac:dyDescent="0.3">
      <c r="L270" s="22" t="s">
        <v>40</v>
      </c>
      <c r="M270" s="22" t="s">
        <v>35</v>
      </c>
      <c r="N270" s="22" t="s">
        <v>24</v>
      </c>
      <c r="O270" s="38">
        <v>1638</v>
      </c>
      <c r="P270" s="50">
        <v>48</v>
      </c>
    </row>
    <row r="271" spans="12:16" ht="15.6" x14ac:dyDescent="0.3">
      <c r="L271" s="22" t="s">
        <v>7</v>
      </c>
      <c r="M271" s="22" t="s">
        <v>34</v>
      </c>
      <c r="N271" s="22" t="s">
        <v>15</v>
      </c>
      <c r="O271" s="38">
        <v>3829</v>
      </c>
      <c r="P271" s="50">
        <v>24</v>
      </c>
    </row>
    <row r="272" spans="12:16" ht="15.6" x14ac:dyDescent="0.3">
      <c r="L272" s="22" t="s">
        <v>40</v>
      </c>
      <c r="M272" s="22" t="s">
        <v>39</v>
      </c>
      <c r="N272" s="22" t="s">
        <v>15</v>
      </c>
      <c r="O272" s="38">
        <v>5775</v>
      </c>
      <c r="P272" s="50">
        <v>42</v>
      </c>
    </row>
    <row r="273" spans="12:16" ht="15.6" x14ac:dyDescent="0.3">
      <c r="L273" s="22" t="s">
        <v>6</v>
      </c>
      <c r="M273" s="22" t="s">
        <v>35</v>
      </c>
      <c r="N273" s="22" t="s">
        <v>20</v>
      </c>
      <c r="O273" s="38">
        <v>1071</v>
      </c>
      <c r="P273" s="50">
        <v>270</v>
      </c>
    </row>
    <row r="274" spans="12:16" ht="15.6" x14ac:dyDescent="0.3">
      <c r="L274" s="22" t="s">
        <v>8</v>
      </c>
      <c r="M274" s="22" t="s">
        <v>36</v>
      </c>
      <c r="N274" s="22" t="s">
        <v>23</v>
      </c>
      <c r="O274" s="38">
        <v>5019</v>
      </c>
      <c r="P274" s="50">
        <v>150</v>
      </c>
    </row>
    <row r="275" spans="12:16" ht="15.6" x14ac:dyDescent="0.3">
      <c r="L275" s="22" t="s">
        <v>2</v>
      </c>
      <c r="M275" s="22" t="s">
        <v>37</v>
      </c>
      <c r="N275" s="22" t="s">
        <v>15</v>
      </c>
      <c r="O275" s="38">
        <v>2863</v>
      </c>
      <c r="P275" s="50">
        <v>42</v>
      </c>
    </row>
    <row r="276" spans="12:16" ht="15.6" x14ac:dyDescent="0.3">
      <c r="L276" s="22" t="s">
        <v>40</v>
      </c>
      <c r="M276" s="22" t="s">
        <v>35</v>
      </c>
      <c r="N276" s="22" t="s">
        <v>29</v>
      </c>
      <c r="O276" s="38">
        <v>1617</v>
      </c>
      <c r="P276" s="50">
        <v>126</v>
      </c>
    </row>
    <row r="277" spans="12:16" ht="15.6" x14ac:dyDescent="0.3">
      <c r="L277" s="22" t="s">
        <v>6</v>
      </c>
      <c r="M277" s="22" t="s">
        <v>37</v>
      </c>
      <c r="N277" s="22" t="s">
        <v>26</v>
      </c>
      <c r="O277" s="38">
        <v>6818</v>
      </c>
      <c r="P277" s="50">
        <v>6</v>
      </c>
    </row>
    <row r="278" spans="12:16" ht="15.6" x14ac:dyDescent="0.3">
      <c r="L278" s="22" t="s">
        <v>3</v>
      </c>
      <c r="M278" s="22" t="s">
        <v>35</v>
      </c>
      <c r="N278" s="22" t="s">
        <v>15</v>
      </c>
      <c r="O278" s="38">
        <v>6657</v>
      </c>
      <c r="P278" s="50">
        <v>276</v>
      </c>
    </row>
    <row r="279" spans="12:16" ht="15.6" x14ac:dyDescent="0.3">
      <c r="L279" s="22" t="s">
        <v>3</v>
      </c>
      <c r="M279" s="22" t="s">
        <v>34</v>
      </c>
      <c r="N279" s="22" t="s">
        <v>17</v>
      </c>
      <c r="O279" s="38">
        <v>2919</v>
      </c>
      <c r="P279" s="50">
        <v>93</v>
      </c>
    </row>
    <row r="280" spans="12:16" ht="15.6" x14ac:dyDescent="0.3">
      <c r="L280" s="22" t="s">
        <v>2</v>
      </c>
      <c r="M280" s="22" t="s">
        <v>36</v>
      </c>
      <c r="N280" s="22" t="s">
        <v>31</v>
      </c>
      <c r="O280" s="38">
        <v>3094</v>
      </c>
      <c r="P280" s="50">
        <v>246</v>
      </c>
    </row>
    <row r="281" spans="12:16" ht="15.6" x14ac:dyDescent="0.3">
      <c r="L281" s="22" t="s">
        <v>6</v>
      </c>
      <c r="M281" s="22" t="s">
        <v>39</v>
      </c>
      <c r="N281" s="22" t="s">
        <v>24</v>
      </c>
      <c r="O281" s="38">
        <v>2989</v>
      </c>
      <c r="P281" s="50">
        <v>3</v>
      </c>
    </row>
    <row r="282" spans="12:16" ht="15.6" x14ac:dyDescent="0.3">
      <c r="L282" s="22" t="s">
        <v>8</v>
      </c>
      <c r="M282" s="22" t="s">
        <v>38</v>
      </c>
      <c r="N282" s="22" t="s">
        <v>27</v>
      </c>
      <c r="O282" s="38">
        <v>2268</v>
      </c>
      <c r="P282" s="50">
        <v>63</v>
      </c>
    </row>
    <row r="283" spans="12:16" ht="15.6" x14ac:dyDescent="0.3">
      <c r="L283" s="22" t="s">
        <v>5</v>
      </c>
      <c r="M283" s="22" t="s">
        <v>35</v>
      </c>
      <c r="N283" s="22" t="s">
        <v>31</v>
      </c>
      <c r="O283" s="38">
        <v>4753</v>
      </c>
      <c r="P283" s="50">
        <v>246</v>
      </c>
    </row>
    <row r="284" spans="12:16" ht="15.6" x14ac:dyDescent="0.3">
      <c r="L284" s="22" t="s">
        <v>2</v>
      </c>
      <c r="M284" s="22" t="s">
        <v>34</v>
      </c>
      <c r="N284" s="22" t="s">
        <v>19</v>
      </c>
      <c r="O284" s="38">
        <v>7511</v>
      </c>
      <c r="P284" s="50">
        <v>120</v>
      </c>
    </row>
    <row r="285" spans="12:16" ht="15.6" x14ac:dyDescent="0.3">
      <c r="L285" s="22" t="s">
        <v>2</v>
      </c>
      <c r="M285" s="22" t="s">
        <v>38</v>
      </c>
      <c r="N285" s="22" t="s">
        <v>31</v>
      </c>
      <c r="O285" s="38">
        <v>4326</v>
      </c>
      <c r="P285" s="50">
        <v>348</v>
      </c>
    </row>
    <row r="286" spans="12:16" ht="15.6" x14ac:dyDescent="0.3">
      <c r="L286" s="22" t="s">
        <v>41</v>
      </c>
      <c r="M286" s="22" t="s">
        <v>34</v>
      </c>
      <c r="N286" s="22" t="s">
        <v>23</v>
      </c>
      <c r="O286" s="38">
        <v>4935</v>
      </c>
      <c r="P286" s="50">
        <v>126</v>
      </c>
    </row>
    <row r="287" spans="12:16" ht="15.6" x14ac:dyDescent="0.3">
      <c r="L287" s="22" t="s">
        <v>6</v>
      </c>
      <c r="M287" s="22" t="s">
        <v>35</v>
      </c>
      <c r="N287" s="22" t="s">
        <v>30</v>
      </c>
      <c r="O287" s="38">
        <v>4781</v>
      </c>
      <c r="P287" s="50">
        <v>123</v>
      </c>
    </row>
    <row r="288" spans="12:16" ht="15.6" x14ac:dyDescent="0.3">
      <c r="L288" s="22" t="s">
        <v>5</v>
      </c>
      <c r="M288" s="22" t="s">
        <v>38</v>
      </c>
      <c r="N288" s="22" t="s">
        <v>25</v>
      </c>
      <c r="O288" s="38">
        <v>7483</v>
      </c>
      <c r="P288" s="50">
        <v>45</v>
      </c>
    </row>
    <row r="289" spans="12:16" ht="15.6" x14ac:dyDescent="0.3">
      <c r="L289" s="22" t="s">
        <v>10</v>
      </c>
      <c r="M289" s="22" t="s">
        <v>38</v>
      </c>
      <c r="N289" s="22" t="s">
        <v>4</v>
      </c>
      <c r="O289" s="38">
        <v>6860</v>
      </c>
      <c r="P289" s="50">
        <v>126</v>
      </c>
    </row>
    <row r="290" spans="12:16" ht="15.6" x14ac:dyDescent="0.3">
      <c r="L290" s="22" t="s">
        <v>40</v>
      </c>
      <c r="M290" s="22" t="s">
        <v>37</v>
      </c>
      <c r="N290" s="22" t="s">
        <v>29</v>
      </c>
      <c r="O290" s="38">
        <v>9002</v>
      </c>
      <c r="P290" s="50">
        <v>72</v>
      </c>
    </row>
    <row r="291" spans="12:16" ht="15.6" x14ac:dyDescent="0.3">
      <c r="L291" s="22" t="s">
        <v>6</v>
      </c>
      <c r="M291" s="22" t="s">
        <v>36</v>
      </c>
      <c r="N291" s="22" t="s">
        <v>29</v>
      </c>
      <c r="O291" s="38">
        <v>1400</v>
      </c>
      <c r="P291" s="50">
        <v>135</v>
      </c>
    </row>
    <row r="292" spans="12:16" ht="15.6" x14ac:dyDescent="0.3">
      <c r="L292" s="22" t="s">
        <v>10</v>
      </c>
      <c r="M292" s="22" t="s">
        <v>34</v>
      </c>
      <c r="N292" s="22" t="s">
        <v>22</v>
      </c>
      <c r="O292" s="38">
        <v>4053</v>
      </c>
      <c r="P292" s="50">
        <v>24</v>
      </c>
    </row>
    <row r="293" spans="12:16" ht="15.6" x14ac:dyDescent="0.3">
      <c r="L293" s="22" t="s">
        <v>7</v>
      </c>
      <c r="M293" s="22" t="s">
        <v>36</v>
      </c>
      <c r="N293" s="22" t="s">
        <v>31</v>
      </c>
      <c r="O293" s="38">
        <v>2149</v>
      </c>
      <c r="P293" s="50">
        <v>117</v>
      </c>
    </row>
    <row r="294" spans="12:16" ht="15.6" x14ac:dyDescent="0.3">
      <c r="L294" s="22" t="s">
        <v>3</v>
      </c>
      <c r="M294" s="22" t="s">
        <v>39</v>
      </c>
      <c r="N294" s="22" t="s">
        <v>29</v>
      </c>
      <c r="O294" s="38">
        <v>3640</v>
      </c>
      <c r="P294" s="50">
        <v>51</v>
      </c>
    </row>
    <row r="295" spans="12:16" ht="15.6" x14ac:dyDescent="0.3">
      <c r="L295" s="22" t="s">
        <v>2</v>
      </c>
      <c r="M295" s="22" t="s">
        <v>39</v>
      </c>
      <c r="N295" s="22" t="s">
        <v>23</v>
      </c>
      <c r="O295" s="38">
        <v>630</v>
      </c>
      <c r="P295" s="50">
        <v>36</v>
      </c>
    </row>
    <row r="296" spans="12:16" ht="15.6" x14ac:dyDescent="0.3">
      <c r="L296" s="22" t="s">
        <v>9</v>
      </c>
      <c r="M296" s="22" t="s">
        <v>35</v>
      </c>
      <c r="N296" s="22" t="s">
        <v>27</v>
      </c>
      <c r="O296" s="38">
        <v>2429</v>
      </c>
      <c r="P296" s="50">
        <v>144</v>
      </c>
    </row>
    <row r="297" spans="12:16" ht="15.6" x14ac:dyDescent="0.3">
      <c r="L297" s="22" t="s">
        <v>9</v>
      </c>
      <c r="M297" s="22" t="s">
        <v>36</v>
      </c>
      <c r="N297" s="22" t="s">
        <v>25</v>
      </c>
      <c r="O297" s="38">
        <v>2142</v>
      </c>
      <c r="P297" s="50">
        <v>114</v>
      </c>
    </row>
    <row r="298" spans="12:16" ht="15.6" x14ac:dyDescent="0.3">
      <c r="L298" s="22" t="s">
        <v>7</v>
      </c>
      <c r="M298" s="22" t="s">
        <v>37</v>
      </c>
      <c r="N298" s="22" t="s">
        <v>30</v>
      </c>
      <c r="O298" s="38">
        <v>6454</v>
      </c>
      <c r="P298" s="50">
        <v>54</v>
      </c>
    </row>
    <row r="299" spans="12:16" ht="15.6" x14ac:dyDescent="0.3">
      <c r="L299" s="22" t="s">
        <v>7</v>
      </c>
      <c r="M299" s="22" t="s">
        <v>37</v>
      </c>
      <c r="N299" s="22" t="s">
        <v>16</v>
      </c>
      <c r="O299" s="38">
        <v>4487</v>
      </c>
      <c r="P299" s="50">
        <v>333</v>
      </c>
    </row>
    <row r="300" spans="12:16" ht="15.6" x14ac:dyDescent="0.3">
      <c r="L300" s="22" t="s">
        <v>3</v>
      </c>
      <c r="M300" s="22" t="s">
        <v>37</v>
      </c>
      <c r="N300" s="22" t="s">
        <v>4</v>
      </c>
      <c r="O300" s="38">
        <v>938</v>
      </c>
      <c r="P300" s="50">
        <v>366</v>
      </c>
    </row>
    <row r="301" spans="12:16" ht="15.6" x14ac:dyDescent="0.3">
      <c r="L301" s="22" t="s">
        <v>3</v>
      </c>
      <c r="M301" s="22" t="s">
        <v>38</v>
      </c>
      <c r="N301" s="22" t="s">
        <v>26</v>
      </c>
      <c r="O301" s="38">
        <v>8841</v>
      </c>
      <c r="P301" s="50">
        <v>303</v>
      </c>
    </row>
    <row r="302" spans="12:16" ht="15.6" x14ac:dyDescent="0.3">
      <c r="L302" s="22" t="s">
        <v>2</v>
      </c>
      <c r="M302" s="22" t="s">
        <v>39</v>
      </c>
      <c r="N302" s="22" t="s">
        <v>33</v>
      </c>
      <c r="O302" s="38">
        <v>4018</v>
      </c>
      <c r="P302" s="50">
        <v>126</v>
      </c>
    </row>
    <row r="303" spans="12:16" ht="15.6" x14ac:dyDescent="0.3">
      <c r="L303" s="22" t="s">
        <v>41</v>
      </c>
      <c r="M303" s="22" t="s">
        <v>37</v>
      </c>
      <c r="N303" s="22" t="s">
        <v>15</v>
      </c>
      <c r="O303" s="38">
        <v>714</v>
      </c>
      <c r="P303" s="50">
        <v>231</v>
      </c>
    </row>
    <row r="304" spans="12:16" ht="15.6" x14ac:dyDescent="0.3">
      <c r="L304" s="22" t="s">
        <v>9</v>
      </c>
      <c r="M304" s="22" t="s">
        <v>38</v>
      </c>
      <c r="N304" s="22" t="s">
        <v>25</v>
      </c>
      <c r="O304" s="38">
        <v>3850</v>
      </c>
      <c r="P304" s="50">
        <v>102</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40DD4-6BF6-4E47-B9BB-1E9925A5241C}">
  <dimension ref="A1:G15"/>
  <sheetViews>
    <sheetView showGridLines="0" workbookViewId="0">
      <selection activeCell="I7" sqref="I7"/>
    </sheetView>
  </sheetViews>
  <sheetFormatPr defaultRowHeight="14.4" x14ac:dyDescent="0.3"/>
  <cols>
    <col min="1" max="1" width="2.88671875" bestFit="1" customWidth="1"/>
    <col min="2" max="2" width="41.21875" bestFit="1" customWidth="1"/>
    <col min="3" max="3" width="23.109375" bestFit="1" customWidth="1"/>
    <col min="6" max="6" width="23.6640625" bestFit="1" customWidth="1"/>
    <col min="7" max="7" width="23.109375" bestFit="1" customWidth="1"/>
  </cols>
  <sheetData>
    <row r="1" spans="1:7" ht="23.4" x14ac:dyDescent="0.45">
      <c r="A1" s="19">
        <v>7</v>
      </c>
      <c r="B1" s="20" t="s">
        <v>48</v>
      </c>
      <c r="C1" s="44"/>
      <c r="D1" s="44"/>
      <c r="E1" s="44"/>
      <c r="F1" s="44"/>
      <c r="G1" s="44"/>
    </row>
    <row r="2" spans="1:7" ht="23.4" x14ac:dyDescent="0.45">
      <c r="A2" s="44"/>
      <c r="B2" s="45" t="s">
        <v>69</v>
      </c>
      <c r="C2" s="44" t="s">
        <v>71</v>
      </c>
      <c r="D2" s="44"/>
      <c r="E2" s="44"/>
      <c r="F2" s="45" t="s">
        <v>69</v>
      </c>
      <c r="G2" s="44" t="s">
        <v>71</v>
      </c>
    </row>
    <row r="3" spans="1:7" ht="23.4" x14ac:dyDescent="0.45">
      <c r="A3" s="44"/>
      <c r="B3" s="46" t="s">
        <v>38</v>
      </c>
      <c r="C3" s="47"/>
      <c r="D3" s="44"/>
      <c r="E3" s="44"/>
      <c r="F3" s="46" t="s">
        <v>38</v>
      </c>
      <c r="G3" s="47"/>
    </row>
    <row r="4" spans="1:7" ht="23.4" x14ac:dyDescent="0.45">
      <c r="A4" s="44"/>
      <c r="B4" s="48" t="s">
        <v>5</v>
      </c>
      <c r="C4" s="47">
        <v>25221</v>
      </c>
      <c r="D4" s="44"/>
      <c r="E4" s="44"/>
      <c r="F4" s="48" t="s">
        <v>41</v>
      </c>
      <c r="G4" s="47">
        <v>6069</v>
      </c>
    </row>
    <row r="5" spans="1:7" ht="23.4" x14ac:dyDescent="0.45">
      <c r="A5" s="44"/>
      <c r="B5" s="46" t="s">
        <v>36</v>
      </c>
      <c r="C5" s="47"/>
      <c r="D5" s="44"/>
      <c r="E5" s="44"/>
      <c r="F5" s="46" t="s">
        <v>36</v>
      </c>
      <c r="G5" s="47"/>
    </row>
    <row r="6" spans="1:7" ht="23.4" x14ac:dyDescent="0.45">
      <c r="A6" s="44"/>
      <c r="B6" s="48" t="s">
        <v>5</v>
      </c>
      <c r="C6" s="47">
        <v>39620</v>
      </c>
      <c r="D6" s="44"/>
      <c r="E6" s="44"/>
      <c r="F6" s="48" t="s">
        <v>8</v>
      </c>
      <c r="G6" s="47">
        <v>5019</v>
      </c>
    </row>
    <row r="7" spans="1:7" ht="23.4" x14ac:dyDescent="0.45">
      <c r="A7" s="44"/>
      <c r="B7" s="46" t="s">
        <v>34</v>
      </c>
      <c r="C7" s="47"/>
      <c r="D7" s="44"/>
      <c r="E7" s="44"/>
      <c r="F7" s="46" t="s">
        <v>34</v>
      </c>
      <c r="G7" s="47"/>
    </row>
    <row r="8" spans="1:7" ht="23.4" x14ac:dyDescent="0.45">
      <c r="A8" s="44"/>
      <c r="B8" s="48" t="s">
        <v>5</v>
      </c>
      <c r="C8" s="47">
        <v>41559</v>
      </c>
      <c r="D8" s="44"/>
      <c r="E8" s="44"/>
      <c r="F8" s="48" t="s">
        <v>8</v>
      </c>
      <c r="G8" s="47">
        <v>5516</v>
      </c>
    </row>
    <row r="9" spans="1:7" ht="23.4" x14ac:dyDescent="0.45">
      <c r="A9" s="44"/>
      <c r="B9" s="46" t="s">
        <v>37</v>
      </c>
      <c r="C9" s="47"/>
      <c r="D9" s="44"/>
      <c r="E9" s="44"/>
      <c r="F9" s="46" t="s">
        <v>37</v>
      </c>
      <c r="G9" s="47"/>
    </row>
    <row r="10" spans="1:7" ht="23.4" x14ac:dyDescent="0.45">
      <c r="A10" s="44"/>
      <c r="B10" s="48" t="s">
        <v>7</v>
      </c>
      <c r="C10" s="47">
        <v>43568</v>
      </c>
      <c r="D10" s="44"/>
      <c r="E10" s="44"/>
      <c r="F10" s="48" t="s">
        <v>10</v>
      </c>
      <c r="G10" s="47">
        <v>7987</v>
      </c>
    </row>
    <row r="11" spans="1:7" ht="23.4" x14ac:dyDescent="0.45">
      <c r="A11" s="44"/>
      <c r="B11" s="46" t="s">
        <v>39</v>
      </c>
      <c r="C11" s="47"/>
      <c r="D11" s="44"/>
      <c r="E11" s="44"/>
      <c r="F11" s="46" t="s">
        <v>39</v>
      </c>
      <c r="G11" s="47"/>
    </row>
    <row r="12" spans="1:7" ht="23.4" x14ac:dyDescent="0.45">
      <c r="A12" s="44"/>
      <c r="B12" s="48" t="s">
        <v>2</v>
      </c>
      <c r="C12" s="47">
        <v>45752</v>
      </c>
      <c r="D12" s="44"/>
      <c r="E12" s="44"/>
      <c r="F12" s="48" t="s">
        <v>41</v>
      </c>
      <c r="G12" s="47">
        <v>3976</v>
      </c>
    </row>
    <row r="13" spans="1:7" ht="23.4" x14ac:dyDescent="0.45">
      <c r="A13" s="44"/>
      <c r="B13" s="46" t="s">
        <v>35</v>
      </c>
      <c r="C13" s="47"/>
      <c r="D13" s="44"/>
      <c r="E13" s="44"/>
      <c r="F13" s="46" t="s">
        <v>35</v>
      </c>
      <c r="G13" s="47"/>
    </row>
    <row r="14" spans="1:7" ht="23.4" x14ac:dyDescent="0.45">
      <c r="A14" s="44"/>
      <c r="B14" s="48" t="s">
        <v>40</v>
      </c>
      <c r="C14" s="47">
        <v>38325</v>
      </c>
      <c r="D14" s="44"/>
      <c r="E14" s="44"/>
      <c r="F14" s="48" t="s">
        <v>2</v>
      </c>
      <c r="G14" s="47">
        <v>2142</v>
      </c>
    </row>
    <row r="15" spans="1:7" ht="23.4" x14ac:dyDescent="0.45">
      <c r="A15" s="44"/>
      <c r="B15" s="46" t="s">
        <v>70</v>
      </c>
      <c r="C15" s="47">
        <v>234045</v>
      </c>
      <c r="D15" s="44"/>
      <c r="E15" s="44"/>
      <c r="F15" s="46" t="s">
        <v>70</v>
      </c>
      <c r="G15" s="47">
        <v>30709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ACF66-DBBF-4138-B35D-AA0AE57244F2}">
  <dimension ref="A1:C27"/>
  <sheetViews>
    <sheetView showGridLines="0" workbookViewId="0">
      <selection activeCell="B4" sqref="B4:C27"/>
    </sheetView>
  </sheetViews>
  <sheetFormatPr defaultRowHeight="14.4" x14ac:dyDescent="0.3"/>
  <cols>
    <col min="2" max="2" width="20.21875" bestFit="1" customWidth="1"/>
    <col min="3" max="3" width="20.44140625" bestFit="1" customWidth="1"/>
    <col min="4" max="4" width="10.77734375" bestFit="1" customWidth="1"/>
    <col min="5" max="5" width="12.109375" bestFit="1" customWidth="1"/>
  </cols>
  <sheetData>
    <row r="1" spans="1:3" ht="36.6" x14ac:dyDescent="0.7">
      <c r="A1" s="16">
        <v>8</v>
      </c>
      <c r="B1" s="11" t="s">
        <v>51</v>
      </c>
    </row>
    <row r="4" spans="1:3" ht="21" x14ac:dyDescent="0.4">
      <c r="B4" s="51" t="s">
        <v>69</v>
      </c>
      <c r="C4" s="24" t="s">
        <v>76</v>
      </c>
    </row>
    <row r="5" spans="1:3" ht="21" x14ac:dyDescent="0.4">
      <c r="B5" s="71" t="s">
        <v>14</v>
      </c>
      <c r="C5" s="72">
        <v>19525.600000000002</v>
      </c>
    </row>
    <row r="6" spans="1:3" ht="21" x14ac:dyDescent="0.4">
      <c r="B6" s="71" t="s">
        <v>30</v>
      </c>
      <c r="C6" s="72">
        <v>25899.020000000011</v>
      </c>
    </row>
    <row r="7" spans="1:3" ht="21" x14ac:dyDescent="0.4">
      <c r="B7" s="71" t="s">
        <v>24</v>
      </c>
      <c r="C7" s="72">
        <v>30189.32</v>
      </c>
    </row>
    <row r="8" spans="1:3" ht="21" x14ac:dyDescent="0.4">
      <c r="B8" s="71" t="s">
        <v>19</v>
      </c>
      <c r="C8" s="72">
        <v>29800.160000000003</v>
      </c>
    </row>
    <row r="9" spans="1:3" ht="21" x14ac:dyDescent="0.4">
      <c r="B9" s="71" t="s">
        <v>22</v>
      </c>
      <c r="C9" s="72">
        <v>46234.960000000006</v>
      </c>
    </row>
    <row r="10" spans="1:3" ht="21" x14ac:dyDescent="0.4">
      <c r="B10" s="71" t="s">
        <v>4</v>
      </c>
      <c r="C10" s="72">
        <v>14946.919999999998</v>
      </c>
    </row>
    <row r="11" spans="1:3" ht="21" x14ac:dyDescent="0.4">
      <c r="B11" s="71" t="s">
        <v>26</v>
      </c>
      <c r="C11" s="72">
        <v>58277.8</v>
      </c>
    </row>
    <row r="12" spans="1:3" ht="21" x14ac:dyDescent="0.4">
      <c r="B12" s="71" t="s">
        <v>28</v>
      </c>
      <c r="C12" s="72">
        <v>39084.340000000004</v>
      </c>
    </row>
    <row r="13" spans="1:3" ht="21" x14ac:dyDescent="0.4">
      <c r="B13" s="71" t="s">
        <v>32</v>
      </c>
      <c r="C13" s="72">
        <v>52063.35</v>
      </c>
    </row>
    <row r="14" spans="1:3" ht="21" x14ac:dyDescent="0.4">
      <c r="B14" s="71" t="s">
        <v>18</v>
      </c>
      <c r="C14" s="72">
        <v>40814.559999999998</v>
      </c>
    </row>
    <row r="15" spans="1:3" ht="21" x14ac:dyDescent="0.4">
      <c r="B15" s="71" t="s">
        <v>17</v>
      </c>
      <c r="C15" s="72">
        <v>56471.590000000004</v>
      </c>
    </row>
    <row r="16" spans="1:3" ht="21" x14ac:dyDescent="0.4">
      <c r="B16" s="71" t="s">
        <v>23</v>
      </c>
      <c r="C16" s="72">
        <v>44884.12</v>
      </c>
    </row>
    <row r="17" spans="2:3" ht="21" x14ac:dyDescent="0.4">
      <c r="B17" s="71" t="s">
        <v>29</v>
      </c>
      <c r="C17" s="72">
        <v>36700.840000000004</v>
      </c>
    </row>
    <row r="18" spans="2:3" ht="21" x14ac:dyDescent="0.4">
      <c r="B18" s="71" t="s">
        <v>13</v>
      </c>
      <c r="C18" s="72">
        <v>29721.27</v>
      </c>
    </row>
    <row r="19" spans="2:3" ht="21" x14ac:dyDescent="0.4">
      <c r="B19" s="71" t="s">
        <v>16</v>
      </c>
      <c r="C19" s="72">
        <v>43177.340000000004</v>
      </c>
    </row>
    <row r="20" spans="2:3" ht="21" x14ac:dyDescent="0.4">
      <c r="B20" s="71" t="s">
        <v>20</v>
      </c>
      <c r="C20" s="72">
        <v>31390.480000000003</v>
      </c>
    </row>
    <row r="21" spans="2:3" ht="21" x14ac:dyDescent="0.4">
      <c r="B21" s="71" t="s">
        <v>27</v>
      </c>
      <c r="C21" s="72">
        <v>19572.14</v>
      </c>
    </row>
    <row r="22" spans="2:3" ht="21" x14ac:dyDescent="0.4">
      <c r="B22" s="71" t="s">
        <v>33</v>
      </c>
      <c r="C22" s="72">
        <v>46226.020000000004</v>
      </c>
    </row>
    <row r="23" spans="2:3" ht="21" x14ac:dyDescent="0.4">
      <c r="B23" s="71" t="s">
        <v>15</v>
      </c>
      <c r="C23" s="72">
        <v>50988.91</v>
      </c>
    </row>
    <row r="24" spans="2:3" ht="21" x14ac:dyDescent="0.4">
      <c r="B24" s="71" t="s">
        <v>31</v>
      </c>
      <c r="C24" s="72">
        <v>29518.43</v>
      </c>
    </row>
    <row r="25" spans="2:3" ht="21" x14ac:dyDescent="0.4">
      <c r="B25" s="71" t="s">
        <v>21</v>
      </c>
      <c r="C25" s="72">
        <v>26000</v>
      </c>
    </row>
    <row r="26" spans="2:3" ht="21" x14ac:dyDescent="0.4">
      <c r="B26" s="71" t="s">
        <v>25</v>
      </c>
      <c r="C26" s="72">
        <v>29678.099999999995</v>
      </c>
    </row>
    <row r="27" spans="2:3" ht="21" x14ac:dyDescent="0.4">
      <c r="B27" s="52" t="s">
        <v>70</v>
      </c>
      <c r="C27" s="73">
        <v>801165.2699999999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91699-28FF-409C-9093-B8F60896C501}">
  <dimension ref="A1:L14"/>
  <sheetViews>
    <sheetView showGridLines="0" workbookViewId="0">
      <selection activeCell="G20" sqref="G20"/>
    </sheetView>
  </sheetViews>
  <sheetFormatPr defaultRowHeight="14.4" x14ac:dyDescent="0.3"/>
  <cols>
    <col min="1" max="1" width="16.33203125" customWidth="1"/>
    <col min="2" max="2" width="20" customWidth="1"/>
    <col min="3" max="3" width="20.21875" bestFit="1" customWidth="1"/>
    <col min="4" max="4" width="10.77734375" customWidth="1"/>
    <col min="5" max="5" width="16.33203125" customWidth="1"/>
    <col min="7" max="7" width="12.109375" customWidth="1"/>
    <col min="8" max="8" width="15.33203125" customWidth="1"/>
    <col min="9" max="9" width="10.5546875" bestFit="1" customWidth="1"/>
    <col min="14" max="14" width="20.109375" customWidth="1"/>
    <col min="15" max="15" width="13.77734375" customWidth="1"/>
    <col min="16" max="16" width="12.44140625" customWidth="1"/>
  </cols>
  <sheetData>
    <row r="1" spans="1:12" ht="31.2" x14ac:dyDescent="0.6">
      <c r="A1" s="30">
        <v>9</v>
      </c>
      <c r="B1" s="31" t="s">
        <v>46</v>
      </c>
      <c r="C1" s="32"/>
      <c r="D1" s="32"/>
      <c r="E1" s="32"/>
      <c r="F1" s="32"/>
      <c r="G1" s="32"/>
    </row>
    <row r="2" spans="1:12" ht="15.6" x14ac:dyDescent="0.3">
      <c r="A2" s="22"/>
      <c r="B2" s="22"/>
      <c r="C2" s="22"/>
      <c r="D2" s="22"/>
      <c r="E2" s="74" t="s">
        <v>84</v>
      </c>
      <c r="F2" s="75"/>
      <c r="G2" s="75"/>
    </row>
    <row r="3" spans="1:12" ht="15.6" x14ac:dyDescent="0.3">
      <c r="A3" s="21" t="s">
        <v>77</v>
      </c>
      <c r="B3" s="25" t="s">
        <v>38</v>
      </c>
      <c r="C3" s="22"/>
      <c r="D3" s="22"/>
      <c r="E3" s="28"/>
      <c r="F3" s="27" t="s">
        <v>1</v>
      </c>
      <c r="G3" s="27" t="s">
        <v>49</v>
      </c>
      <c r="H3" s="34"/>
      <c r="L3" t="str" cm="1">
        <f t="array" ref="L3:L8">_xlfn.UNIQUE(Data[Geography])</f>
        <v>New Zealand</v>
      </c>
    </row>
    <row r="4" spans="1:12" ht="15.6" x14ac:dyDescent="0.3">
      <c r="A4" s="22"/>
      <c r="B4" s="22"/>
      <c r="C4" s="22"/>
      <c r="D4" s="22"/>
      <c r="E4" s="76" t="str" cm="1">
        <f t="array" ref="E4:E13">_xlfn.UNIQUE(Data[Sales Person])</f>
        <v>Ram Mahesh</v>
      </c>
      <c r="F4" s="77">
        <f>SUMIFS(Data[Amount],Data[Sales Person],$E4,Data[Geography],$B$3)</f>
        <v>20097</v>
      </c>
      <c r="G4" s="78">
        <f>SUMIFS(Data[Units],Data[Sales Person],$E4,Data[Geography],$B$3)</f>
        <v>711</v>
      </c>
      <c r="L4" t="str">
        <v>USA</v>
      </c>
    </row>
    <row r="5" spans="1:12" ht="15.6" x14ac:dyDescent="0.3">
      <c r="A5" s="22"/>
      <c r="B5" s="33" t="s">
        <v>78</v>
      </c>
      <c r="C5" s="26">
        <f>COUNTIF(Data[Geography],B3)</f>
        <v>46</v>
      </c>
      <c r="D5" s="22"/>
      <c r="E5" s="76" t="str">
        <v>Brien Boise</v>
      </c>
      <c r="F5" s="77">
        <f>SUMIFS(Data[Amount],Data[Sales Person],$E5,Data[Geography],$B$3)</f>
        <v>15141</v>
      </c>
      <c r="G5" s="78">
        <f>SUMIFS(Data[Units],Data[Sales Person],$E5,Data[Geography],$B$3)</f>
        <v>1182</v>
      </c>
      <c r="L5" t="str">
        <v>Canada</v>
      </c>
    </row>
    <row r="6" spans="1:12" ht="15.6" x14ac:dyDescent="0.3">
      <c r="A6" s="22"/>
      <c r="B6" s="22"/>
      <c r="C6" s="22"/>
      <c r="D6" s="22"/>
      <c r="E6" s="76" t="str">
        <v>Husein Augar</v>
      </c>
      <c r="F6" s="77">
        <f>SUMIFS(Data[Amount],Data[Sales Person],$E6,Data[Geography],$B$3)</f>
        <v>24983</v>
      </c>
      <c r="G6" s="78">
        <f>SUMIFS(Data[Units],Data[Sales Person],$E6,Data[Geography],$B$3)</f>
        <v>477</v>
      </c>
      <c r="L6" t="str">
        <v>UK</v>
      </c>
    </row>
    <row r="7" spans="1:12" ht="15.6" x14ac:dyDescent="0.3">
      <c r="A7" s="22"/>
      <c r="B7" s="79"/>
      <c r="C7" s="29" t="s">
        <v>83</v>
      </c>
      <c r="D7" s="29" t="s">
        <v>55</v>
      </c>
      <c r="E7" s="76" t="str">
        <v>Carla Molina</v>
      </c>
      <c r="F7" s="77">
        <f>SUMIFS(Data[Amount],Data[Sales Person],$E7,Data[Geography],$B$3)</f>
        <v>6069</v>
      </c>
      <c r="G7" s="78">
        <f>SUMIFS(Data[Units],Data[Sales Person],$E7,Data[Geography],$B$3)</f>
        <v>24</v>
      </c>
      <c r="L7" t="str">
        <v>Australia</v>
      </c>
    </row>
    <row r="8" spans="1:12" ht="15.6" x14ac:dyDescent="0.3">
      <c r="A8" s="22"/>
      <c r="B8" s="78" t="s">
        <v>79</v>
      </c>
      <c r="C8" s="77">
        <f>SUMIFS(Data[Amount],Data[Geography],$B$3)</f>
        <v>168679</v>
      </c>
      <c r="D8" s="77">
        <f>AVERAGEIFS(Data[Amount],Data[Geography],$B$3)</f>
        <v>3666.9347826086955</v>
      </c>
      <c r="E8" s="76" t="str">
        <v>Curtice Advani</v>
      </c>
      <c r="F8" s="77">
        <f>SUMIFS(Data[Amount],Data[Sales Person],$E8,Data[Geography],$B$3)</f>
        <v>15820</v>
      </c>
      <c r="G8" s="78">
        <f>SUMIFS(Data[Units],Data[Sales Person],$E8,Data[Geography],$B$3)</f>
        <v>711</v>
      </c>
      <c r="L8" t="str">
        <v>India</v>
      </c>
    </row>
    <row r="9" spans="1:12" ht="15.6" x14ac:dyDescent="0.3">
      <c r="A9" s="22"/>
      <c r="B9" s="78" t="s">
        <v>80</v>
      </c>
      <c r="C9" s="77">
        <f>SUMIFS(Data[cost],Data[Geography],$B$3)</f>
        <v>60684.719999999987</v>
      </c>
      <c r="D9" s="77">
        <f>AVERAGEIFS(Data[cost],Data[Geography],$B$3)</f>
        <v>1319.2330434782605</v>
      </c>
      <c r="E9" s="76" t="str">
        <v>Ches Bonnell</v>
      </c>
      <c r="F9" s="77">
        <f>SUMIFS(Data[Amount],Data[Sales Person],$E9,Data[Geography],$B$3)</f>
        <v>18865</v>
      </c>
      <c r="G9" s="78">
        <f>SUMIFS(Data[Units],Data[Sales Person],$E9,Data[Geography],$B$3)</f>
        <v>915</v>
      </c>
    </row>
    <row r="10" spans="1:12" ht="15.6" x14ac:dyDescent="0.3">
      <c r="A10" s="22"/>
      <c r="B10" s="78" t="s">
        <v>81</v>
      </c>
      <c r="C10" s="77">
        <f>C8-C9</f>
        <v>107994.28000000001</v>
      </c>
      <c r="D10" s="77">
        <f>D8-D9</f>
        <v>2347.7017391304353</v>
      </c>
      <c r="E10" s="76" t="str">
        <v>Gigi Bohling</v>
      </c>
      <c r="F10" s="77">
        <f>SUMIFS(Data[Amount],Data[Sales Person],$E10,Data[Geography],$B$3)</f>
        <v>25221</v>
      </c>
      <c r="G10" s="78">
        <f>SUMIFS(Data[Units],Data[Sales Person],$E10,Data[Geography],$B$3)</f>
        <v>288</v>
      </c>
    </row>
    <row r="11" spans="1:12" ht="15.6" x14ac:dyDescent="0.3">
      <c r="A11" s="22"/>
      <c r="B11" s="78" t="s">
        <v>82</v>
      </c>
      <c r="C11" s="77">
        <f>SUMIFS(Data[Units],Data[Geography],B3)</f>
        <v>6264</v>
      </c>
      <c r="D11" s="77">
        <f>AVERAGEIFS(Data[Units],Data[Geography],$B$3)</f>
        <v>136.17391304347825</v>
      </c>
      <c r="E11" s="76" t="str">
        <v>Barr Faughny</v>
      </c>
      <c r="F11" s="77">
        <f>SUMIFS(Data[Amount],Data[Sales Person],$E11,Data[Geography],$B$3)</f>
        <v>18928</v>
      </c>
      <c r="G11" s="78">
        <f>SUMIFS(Data[Units],Data[Sales Person],$E11,Data[Geography],$B$3)</f>
        <v>738</v>
      </c>
    </row>
    <row r="12" spans="1:12" ht="15.6" x14ac:dyDescent="0.3">
      <c r="A12" s="22"/>
      <c r="B12" s="22"/>
      <c r="C12" s="22"/>
      <c r="D12" s="22"/>
      <c r="E12" s="76" t="str">
        <v>Gunar Cockshoot</v>
      </c>
      <c r="F12" s="77">
        <f>SUMIFS(Data[Amount],Data[Sales Person],$E12,Data[Geography],$B$3)</f>
        <v>8841</v>
      </c>
      <c r="G12" s="78">
        <f>SUMIFS(Data[Units],Data[Sales Person],$E12,Data[Geography],$B$3)</f>
        <v>303</v>
      </c>
    </row>
    <row r="13" spans="1:12" ht="15.6" x14ac:dyDescent="0.3">
      <c r="A13" s="22"/>
      <c r="B13" s="22"/>
      <c r="C13" s="22"/>
      <c r="D13" s="22"/>
      <c r="E13" s="76" t="str">
        <v>Oby Sorrel</v>
      </c>
      <c r="F13" s="77">
        <f>SUMIFS(Data[Amount],Data[Sales Person],$E13,Data[Geography],$B$3)</f>
        <v>14714</v>
      </c>
      <c r="G13" s="78">
        <f>SUMIFS(Data[Units],Data[Sales Person],$E13,Data[Geography],$B$3)</f>
        <v>915</v>
      </c>
    </row>
    <row r="14" spans="1:12" ht="15.6" x14ac:dyDescent="0.3">
      <c r="A14" s="22"/>
      <c r="B14" s="22"/>
      <c r="C14" s="22"/>
      <c r="D14" s="22"/>
      <c r="E14" s="22"/>
      <c r="F14" s="22"/>
      <c r="G14" s="22"/>
    </row>
  </sheetData>
  <conditionalFormatting sqref="F4:F13">
    <cfRule type="dataBar" priority="9">
      <dataBar>
        <cfvo type="min"/>
        <cfvo type="max"/>
        <color rgb="FFD6007B"/>
      </dataBar>
      <extLst>
        <ext xmlns:x14="http://schemas.microsoft.com/office/spreadsheetml/2009/9/main" uri="{B025F937-C7B1-47D3-B67F-A62EFF666E3E}">
          <x14:id>{1C063463-D7AF-46EB-9BC2-CB749959CB73}</x14:id>
        </ext>
      </extLst>
    </cfRule>
  </conditionalFormatting>
  <conditionalFormatting sqref="H4:H13">
    <cfRule type="iconSet" priority="1">
      <iconSet iconSet="3Symbols" showValue="0">
        <cfvo type="percent" val="0"/>
        <cfvo type="percent" val="33"/>
        <cfvo type="percent" val="&quot;$G$4:$G$13&quot;"/>
      </iconSet>
    </cfRule>
  </conditionalFormatting>
  <dataValidations count="1">
    <dataValidation type="list" allowBlank="1" showInputMessage="1" showErrorMessage="1" sqref="B3" xr:uid="{F87A5A38-2157-4354-98D9-1178303EB0B5}">
      <formula1>$L$3:$L$8</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1C063463-D7AF-46EB-9BC2-CB749959CB73}">
            <x14:dataBar minLength="0" maxLength="100" border="1" negativeBarBorderColorSameAsPositive="0">
              <x14:cfvo type="autoMin"/>
              <x14:cfvo type="autoMax"/>
              <x14:borderColor rgb="FFD6007B"/>
              <x14:negativeFillColor rgb="FFFF0000"/>
              <x14:negativeBorderColor rgb="FFFF0000"/>
              <x14:axisColor rgb="FF000000"/>
            </x14:dataBar>
          </x14:cfRule>
          <xm:sqref>F4:F13</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A394C-9269-4579-AF69-DCA26F46F1EE}">
  <dimension ref="A1:F26"/>
  <sheetViews>
    <sheetView showGridLines="0" workbookViewId="0">
      <selection activeCell="J19" sqref="J19"/>
    </sheetView>
  </sheetViews>
  <sheetFormatPr defaultRowHeight="14.4" x14ac:dyDescent="0.3"/>
  <cols>
    <col min="2" max="2" width="23.109375" bestFit="1" customWidth="1"/>
    <col min="3" max="3" width="15.6640625" bestFit="1" customWidth="1"/>
    <col min="4" max="4" width="12.88671875" bestFit="1" customWidth="1"/>
    <col min="5" max="5" width="12.109375" bestFit="1" customWidth="1"/>
    <col min="6" max="6" width="9" bestFit="1" customWidth="1"/>
  </cols>
  <sheetData>
    <row r="1" spans="1:6" ht="25.8" x14ac:dyDescent="0.5">
      <c r="A1" s="35">
        <v>10</v>
      </c>
      <c r="B1" s="35" t="s">
        <v>47</v>
      </c>
      <c r="C1" s="1"/>
      <c r="D1" s="1"/>
      <c r="E1" s="1"/>
      <c r="F1" s="1"/>
    </row>
    <row r="3" spans="1:6" ht="15.6" x14ac:dyDescent="0.3">
      <c r="B3" s="36" t="s">
        <v>69</v>
      </c>
      <c r="C3" s="22" t="s">
        <v>71</v>
      </c>
      <c r="D3" s="22" t="s">
        <v>72</v>
      </c>
      <c r="E3" s="22" t="s">
        <v>76</v>
      </c>
      <c r="F3" s="22" t="s">
        <v>85</v>
      </c>
    </row>
    <row r="4" spans="1:6" ht="15.6" x14ac:dyDescent="0.3">
      <c r="B4" s="37" t="s">
        <v>14</v>
      </c>
      <c r="C4" s="39">
        <v>43183</v>
      </c>
      <c r="D4" s="39">
        <v>2022</v>
      </c>
      <c r="E4" s="39">
        <v>19525.600000000002</v>
      </c>
      <c r="F4" s="40">
        <v>0.45215941458444298</v>
      </c>
    </row>
    <row r="5" spans="1:6" ht="15.6" x14ac:dyDescent="0.3">
      <c r="B5" s="37" t="s">
        <v>30</v>
      </c>
      <c r="C5" s="39">
        <v>66500</v>
      </c>
      <c r="D5" s="39">
        <v>2802</v>
      </c>
      <c r="E5" s="39">
        <v>25899.020000000011</v>
      </c>
      <c r="F5" s="40">
        <v>0.38945894736842124</v>
      </c>
    </row>
    <row r="6" spans="1:6" ht="15.6" x14ac:dyDescent="0.3">
      <c r="B6" s="37" t="s">
        <v>24</v>
      </c>
      <c r="C6" s="39">
        <v>35378</v>
      </c>
      <c r="D6" s="39">
        <v>1044</v>
      </c>
      <c r="E6" s="39">
        <v>30189.32</v>
      </c>
      <c r="F6" s="40">
        <v>0.85333597150771667</v>
      </c>
    </row>
    <row r="7" spans="1:6" ht="15.6" x14ac:dyDescent="0.3">
      <c r="B7" s="37" t="s">
        <v>19</v>
      </c>
      <c r="C7" s="39">
        <v>44744</v>
      </c>
      <c r="D7" s="39">
        <v>1956</v>
      </c>
      <c r="E7" s="39">
        <v>29800.160000000003</v>
      </c>
      <c r="F7" s="40">
        <v>0.66601466118362251</v>
      </c>
    </row>
    <row r="8" spans="1:6" ht="15.6" x14ac:dyDescent="0.3">
      <c r="B8" s="37" t="s">
        <v>22</v>
      </c>
      <c r="C8" s="39">
        <v>66283</v>
      </c>
      <c r="D8" s="39">
        <v>2052</v>
      </c>
      <c r="E8" s="39">
        <v>46234.960000000006</v>
      </c>
      <c r="F8" s="40">
        <v>0.69753873542235578</v>
      </c>
    </row>
    <row r="9" spans="1:6" ht="15.6" x14ac:dyDescent="0.3">
      <c r="B9" s="37" t="s">
        <v>4</v>
      </c>
      <c r="C9" s="39">
        <v>33551</v>
      </c>
      <c r="D9" s="39">
        <v>1566</v>
      </c>
      <c r="E9" s="39">
        <v>14946.919999999998</v>
      </c>
      <c r="F9" s="40">
        <v>0.44549849482876808</v>
      </c>
    </row>
    <row r="10" spans="1:6" ht="15.6" x14ac:dyDescent="0.3">
      <c r="B10" s="37" t="s">
        <v>26</v>
      </c>
      <c r="C10" s="39">
        <v>70273</v>
      </c>
      <c r="D10" s="39">
        <v>2142</v>
      </c>
      <c r="E10" s="39">
        <v>58277.8</v>
      </c>
      <c r="F10" s="40">
        <v>0.82930570773981471</v>
      </c>
    </row>
    <row r="11" spans="1:6" ht="15.6" x14ac:dyDescent="0.3">
      <c r="B11" s="37" t="s">
        <v>28</v>
      </c>
      <c r="C11" s="39">
        <v>72373</v>
      </c>
      <c r="D11" s="39">
        <v>3207</v>
      </c>
      <c r="E11" s="39">
        <v>39084.340000000004</v>
      </c>
      <c r="F11" s="40">
        <v>0.54004034653807365</v>
      </c>
    </row>
    <row r="12" spans="1:6" ht="15.6" x14ac:dyDescent="0.3">
      <c r="B12" s="37" t="s">
        <v>32</v>
      </c>
      <c r="C12" s="39">
        <v>71967</v>
      </c>
      <c r="D12" s="39">
        <v>2301</v>
      </c>
      <c r="E12" s="39">
        <v>52063.35</v>
      </c>
      <c r="F12" s="40">
        <v>0.72343365709283425</v>
      </c>
    </row>
    <row r="13" spans="1:6" ht="15.6" x14ac:dyDescent="0.3">
      <c r="B13" s="37" t="s">
        <v>18</v>
      </c>
      <c r="C13" s="39">
        <v>52150</v>
      </c>
      <c r="D13" s="39">
        <v>1752</v>
      </c>
      <c r="E13" s="39">
        <v>40814.559999999998</v>
      </c>
      <c r="F13" s="40">
        <v>0.78263777564717163</v>
      </c>
    </row>
    <row r="14" spans="1:6" ht="15.6" x14ac:dyDescent="0.3">
      <c r="B14" s="37" t="s">
        <v>17</v>
      </c>
      <c r="C14" s="39">
        <v>63721</v>
      </c>
      <c r="D14" s="39">
        <v>2331</v>
      </c>
      <c r="E14" s="39">
        <v>56471.590000000004</v>
      </c>
      <c r="F14" s="40">
        <v>0.88623201142480512</v>
      </c>
    </row>
    <row r="15" spans="1:6" ht="15.6" x14ac:dyDescent="0.3">
      <c r="B15" s="37" t="s">
        <v>23</v>
      </c>
      <c r="C15" s="39">
        <v>56644</v>
      </c>
      <c r="D15" s="39">
        <v>1812</v>
      </c>
      <c r="E15" s="39">
        <v>44884.12</v>
      </c>
      <c r="F15" s="40">
        <v>0.79238966174705183</v>
      </c>
    </row>
    <row r="16" spans="1:6" ht="15.6" x14ac:dyDescent="0.3">
      <c r="B16" s="37" t="s">
        <v>29</v>
      </c>
      <c r="C16" s="39">
        <v>58009</v>
      </c>
      <c r="D16" s="39">
        <v>2976</v>
      </c>
      <c r="E16" s="39">
        <v>36700.840000000004</v>
      </c>
      <c r="F16" s="40">
        <v>0.6326749297522799</v>
      </c>
    </row>
    <row r="17" spans="2:6" ht="15.6" x14ac:dyDescent="0.3">
      <c r="B17" s="37" t="s">
        <v>13</v>
      </c>
      <c r="C17" s="39">
        <v>47271</v>
      </c>
      <c r="D17" s="39">
        <v>1881</v>
      </c>
      <c r="E17" s="39">
        <v>29721.27</v>
      </c>
      <c r="F17" s="40">
        <v>0.62874214634765502</v>
      </c>
    </row>
    <row r="18" spans="2:6" ht="15.6" x14ac:dyDescent="0.3">
      <c r="B18" s="37" t="s">
        <v>16</v>
      </c>
      <c r="C18" s="39">
        <v>62111</v>
      </c>
      <c r="D18" s="39">
        <v>2154</v>
      </c>
      <c r="E18" s="39">
        <v>43177.340000000004</v>
      </c>
      <c r="F18" s="40">
        <v>0.6951641416174269</v>
      </c>
    </row>
    <row r="19" spans="2:6" ht="15.6" x14ac:dyDescent="0.3">
      <c r="B19" s="37" t="s">
        <v>20</v>
      </c>
      <c r="C19" s="39">
        <v>54712</v>
      </c>
      <c r="D19" s="39">
        <v>2196</v>
      </c>
      <c r="E19" s="39">
        <v>31390.480000000003</v>
      </c>
      <c r="F19" s="40">
        <v>0.57374031291124439</v>
      </c>
    </row>
    <row r="20" spans="2:6" ht="15.6" x14ac:dyDescent="0.3">
      <c r="B20" s="37" t="s">
        <v>27</v>
      </c>
      <c r="C20" s="39">
        <v>69461</v>
      </c>
      <c r="D20" s="39">
        <v>2982</v>
      </c>
      <c r="E20" s="39">
        <v>19572.14</v>
      </c>
      <c r="F20" s="40">
        <v>0.28177164164063284</v>
      </c>
    </row>
    <row r="21" spans="2:6" ht="15.6" x14ac:dyDescent="0.3">
      <c r="B21" s="37" t="s">
        <v>33</v>
      </c>
      <c r="C21" s="39">
        <v>69160</v>
      </c>
      <c r="D21" s="39">
        <v>1854</v>
      </c>
      <c r="E21" s="39">
        <v>46226.020000000004</v>
      </c>
      <c r="F21" s="40">
        <v>0.6683924233661076</v>
      </c>
    </row>
    <row r="22" spans="2:6" ht="15.6" x14ac:dyDescent="0.3">
      <c r="B22" s="37" t="s">
        <v>15</v>
      </c>
      <c r="C22" s="39">
        <v>68971</v>
      </c>
      <c r="D22" s="39">
        <v>1533</v>
      </c>
      <c r="E22" s="39">
        <v>50988.91</v>
      </c>
      <c r="F22" s="40">
        <v>0.73928042220643464</v>
      </c>
    </row>
    <row r="23" spans="2:6" ht="15.6" x14ac:dyDescent="0.3">
      <c r="B23" s="37" t="s">
        <v>31</v>
      </c>
      <c r="C23" s="39">
        <v>39263</v>
      </c>
      <c r="D23" s="39">
        <v>1683</v>
      </c>
      <c r="E23" s="39">
        <v>29518.43</v>
      </c>
      <c r="F23" s="40">
        <v>0.75181290273285284</v>
      </c>
    </row>
    <row r="24" spans="2:6" ht="15.6" x14ac:dyDescent="0.3">
      <c r="B24" s="37" t="s">
        <v>21</v>
      </c>
      <c r="C24" s="39">
        <v>37772</v>
      </c>
      <c r="D24" s="39">
        <v>1308</v>
      </c>
      <c r="E24" s="39">
        <v>26000</v>
      </c>
      <c r="F24" s="40">
        <v>0.68834056973419466</v>
      </c>
    </row>
    <row r="25" spans="2:6" ht="15.6" x14ac:dyDescent="0.3">
      <c r="B25" s="37" t="s">
        <v>25</v>
      </c>
      <c r="C25" s="39">
        <v>57372</v>
      </c>
      <c r="D25" s="39">
        <v>2106</v>
      </c>
      <c r="E25" s="39">
        <v>29678.099999999995</v>
      </c>
      <c r="F25" s="40">
        <v>0.51729240744614091</v>
      </c>
    </row>
    <row r="26" spans="2:6" ht="15.6" x14ac:dyDescent="0.3">
      <c r="B26" s="37" t="s">
        <v>70</v>
      </c>
      <c r="C26" s="39">
        <v>1240869</v>
      </c>
      <c r="D26" s="39">
        <v>45660</v>
      </c>
      <c r="E26" s="39">
        <v>801165.2699999999</v>
      </c>
      <c r="F26" s="40">
        <v>0.64564854952456696</v>
      </c>
    </row>
  </sheetData>
  <conditionalFormatting pivot="1" sqref="F4:F26">
    <cfRule type="colorScale" priority="1">
      <colorScale>
        <cfvo type="min"/>
        <cfvo type="max"/>
        <color rgb="FF63BE7B"/>
        <color rgb="FFFCFCFF"/>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1</vt:lpstr>
      <vt:lpstr>2</vt:lpstr>
      <vt:lpstr>3</vt:lpstr>
      <vt:lpstr>4</vt:lpstr>
      <vt:lpstr>5</vt:lpstr>
      <vt:lpstr>6</vt:lpstr>
      <vt:lpstr>7</vt:lpstr>
      <vt:lpstr>8</vt:lpstr>
      <vt:lpstr>9</vt:lpstr>
      <vt:lpstr>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MIDDE RISHANTH</cp:lastModifiedBy>
  <dcterms:created xsi:type="dcterms:W3CDTF">2021-03-14T20:21:32Z</dcterms:created>
  <dcterms:modified xsi:type="dcterms:W3CDTF">2026-10-03T16:39:19Z</dcterms:modified>
</cp:coreProperties>
</file>